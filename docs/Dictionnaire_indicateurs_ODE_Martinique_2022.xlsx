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d92906f08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889709adad334c0a"/>
    <x:sheet xmlns:r="http://schemas.openxmlformats.org/officeDocument/2006/relationships" name="Catalogue" sheetId="2" r:id="R004d558f441a4c1f"/>
    <x:sheet xmlns:r="http://schemas.openxmlformats.org/officeDocument/2006/relationships" name="Validation_2022" sheetId="3" r:id="R41a71c8a6e844cc7"/>
    <x:sheet xmlns:r="http://schemas.openxmlformats.org/officeDocument/2006/relationships" name="Sources" sheetId="4" r:id="R065e38b256b14afc"/>
    <x:sheet xmlns:r="http://schemas.openxmlformats.org/officeDocument/2006/relationships" name="Anomalies" sheetId="5" r:id="R965de87c5be344ca"/>
    <x:sheet xmlns:r="http://schemas.openxmlformats.org/officeDocument/2006/relationships" name="Modele_cible" sheetId="6" r:id="R886151ed04ba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7C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i/>
      <x:sz val="11"/>
      <x:color rgb="FF0B4F7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4F7C"/>
      </x:patternFill>
    </x:fill>
    <x:fill>
      <x:patternFill patternType="solid">
        <x:fgColor rgb="FFEAF4FA"/>
      </x:patternFill>
    </x:fill>
    <x:fill>
      <x:patternFill patternType="solid">
        <x:fgColor rgb="FF14A6A6"/>
      </x:patternFill>
    </x:fill>
    <x:fill>
      <x:patternFill patternType="solid">
        <x:fgColor rgb="FFA33A2B"/>
      </x:patternFill>
    </x:fill>
    <x:fill>
      <x:patternFill patternType="solid">
        <x:fgColor rgb="FFFFF8F6"/>
      </x:patternFill>
    </x:fill>
    <x:fill>
      <x:patternFill patternType="solid">
        <x:fgColor rgb="FFF3F5F7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FDE8E7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E9F8F6"/>
        </x:patternFill>
      </x:fill>
    </x:dxf>
    <x:dxf>
      <x:fill>
        <x:patternFill patternType="solid">
          <x:bgColor rgb="FFFDE8E7"/>
        </x:patternFill>
      </x:fill>
    </x:dxf>
    <x:dxf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96d6f40ed49ba" /><Relationship Type="http://schemas.openxmlformats.org/officeDocument/2006/relationships/theme" Target="/xl/theme/theme1.xml" Id="R66974a9d6e6d4e08" /><Relationship Type="http://schemas.openxmlformats.org/officeDocument/2006/relationships/sharedStrings" Target="/xl/sharedStrings.xml" Id="Rcbdb0ff904ba458a" /><Relationship Type="http://schemas.openxmlformats.org/officeDocument/2006/relationships/worksheet" Target="/xl/worksheets/sheet1.xml" Id="R889709adad334c0a" /><Relationship Type="http://schemas.openxmlformats.org/officeDocument/2006/relationships/worksheet" Target="/xl/worksheets/sheet2.xml" Id="R004d558f441a4c1f" /><Relationship Type="http://schemas.openxmlformats.org/officeDocument/2006/relationships/worksheet" Target="/xl/worksheets/sheet3.xml" Id="R41a71c8a6e844cc7" /><Relationship Type="http://schemas.openxmlformats.org/officeDocument/2006/relationships/worksheet" Target="/xl/worksheets/sheet4.xml" Id="R065e38b256b14afc" /><Relationship Type="http://schemas.openxmlformats.org/officeDocument/2006/relationships/worksheet" Target="/xl/worksheets/sheet5.xml" Id="R965de87c5be344ca" /><Relationship Type="http://schemas.openxmlformats.org/officeDocument/2006/relationships/worksheet" Target="/xl/worksheets/sheet6.xml" Id="R886151ed04ba4de9" /></Relationships>
</file>

<file path=xl/tables/table1.xml><?xml version="1.0" encoding="utf-8"?>
<x:table xmlns:x="http://schemas.openxmlformats.org/spreadsheetml/2006/main" id="1" name="CatalogueTable" displayName="CatalogueTable" ref="A1:T81" headerRowCount="1" totalsRowCount="0" totalsRowShown="0">
  <x:tableColumns count="20">
    <x:tableColumn id="1" name="ID"/>
    <x:tableColumn id="2" name="Domaine"/>
    <x:tableColumn id="3" name="Sous-domaine"/>
    <x:tableColumn id="4" name="Indicateur / donnée"/>
    <x:tableColumn id="5" name="Nature"/>
    <x:tableColumn id="6" name="Unité"/>
    <x:tableColumn id="7" name="Granularité"/>
    <x:tableColumn id="8" name="Page(s) rapport"/>
    <x:tableColumn id="9" name="Valeur 2022 / exemple"/>
    <x:tableColumn id="10" name="Source citée dans le rapport"/>
    <x:tableColumn id="11" name="Source future proposée"/>
    <x:tableColumn id="12" name="Code officiel / variable"/>
    <x:tableColumn id="13" name="Formule / définition opérationnelle"/>
    <x:tableColumn id="14" name="Règle d'agrégation"/>
    <x:tableColumn id="15" name="Acquisition"/>
    <x:tableColumn id="16" name="Fréquence"/>
    <x:tableColumn id="17" name="Confiance mapping"/>
    <x:tableColumn id="18" name="Table cible proposée"/>
    <x:tableColumn id="19" name="Commentaire méthodologique"/>
    <x:tableColumn id="20" name="URL source futu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ionTable" displayName="ValidationTable" ref="A1:H169" headerRowCount="1" totalsRowCount="0" totalsRowShown="0">
  <x:tableColumns count="8">
    <x:tableColumn id="1" name="ID indicateur"/>
    <x:tableColumn id="2" name="Année référence"/>
    <x:tableColumn id="3" name="Territoire / objet"/>
    <x:tableColumn id="4" name="Valeur rapport"/>
    <x:tableColumn id="5" name="Unité"/>
    <x:tableColumn id="6" name="Page(s)"/>
    <x:tableColumn id="7" name="Source du rapport"/>
    <x:tableColumn id="8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F12" headerRowCount="1" totalsRowCount="0" totalsRowShown="0">
  <x:tableColumns count="6">
    <x:tableColumn id="1" name="Source"/>
    <x:tableColumn id="2" name="Périmètre"/>
    <x:tableColumn id="3" name="Accès"/>
    <x:tableColumn id="4" name="Automatisation"/>
    <x:tableColumn id="5" name="Usage recommandé / vigilance"/>
    <x:tableColumn id="6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omaliesTable" displayName="AnomaliesTable" ref="A1:G8" headerRowCount="1" totalsRowCount="0" totalsRowShown="0">
  <x:tableColumns count="7">
    <x:tableColumn id="1" name="ID"/>
    <x:tableColumn id="2" name="Sujet"/>
    <x:tableColumn id="3" name="Localisation"/>
    <x:tableColumn id="4" name="Constat"/>
    <x:tableColumn id="5" name="Impact"/>
    <x:tableColumn id="6" name="Confiance"/>
    <x:tableColumn id="7" name="Action recommandé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delTable" displayName="ModelTable" ref="A3:F17" headerRowCount="1" totalsRowCount="0" totalsRowShown="0">
  <x:tableColumns count="6">
    <x:tableColumn id="1" name="Couche"/>
    <x:tableColumn id="2" name="Table"/>
    <x:tableColumn id="3" name="Clé / grain"/>
    <x:tableColumn id="4" name="Rôle"/>
    <x:tableColumn id="5" name="Exemples"/>
    <x:tableColumn id="6" name="Remarq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a31be51e404b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f0d274c4344c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2b004467494a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367ed92f5741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219b27dc994c6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3" hidden="0" customWidth="1"/>
    <x:col min="4" max="4" width="30" hidden="0" customWidth="1"/>
    <x:col min="5" max="5" width="15" hidden="0" customWidth="1"/>
    <x:col min="6" max="6" width="3" hidden="0" customWidth="1"/>
    <x:col min="7" max="7" width="3" hidden="0" customWidth="1"/>
    <x:col min="8" max="8" width="3" hidden="0" customWidth="1"/>
  </x:cols>
  <x:sheetData>
    <x:row r="1" ht="30" customHeight="1">
      <x:c r="A1" s="52" t="str">
        <x:v>Référentiel Eau &amp; Assainissement — Dictionnaire des indicateurs du rapport ODE 2022</x:v>
      </x:c>
      <x:c r="B1" s="52"/>
      <x:c r="C1" s="52"/>
      <x:c r="D1" s="52"/>
      <x:c r="E1" s="52"/>
      <x:c r="F1" s="52"/>
      <x:c r="G1" s="52"/>
      <x:c r="H1" s="52"/>
    </x:row>
    <x:row r="2">
      <x:c r="A2" s="49"/>
      <x:c r="B2" s="49"/>
      <x:c r="C2" s="49"/>
      <x:c r="D2" s="49"/>
      <x:c r="E2" s="49"/>
      <x:c r="F2" s="49"/>
      <x:c r="G2" s="49"/>
      <x:c r="H2" s="49"/>
    </x:row>
    <x:row r="3">
      <x:c r="A3" s="10" t="str">
        <x:v>Objet</x:v>
      </x:c>
      <x:c r="B3" s="39" t="str">
        <x:v>Construire le cahier des charges du futur référentiel annuel de l'Observatoire de l'Eau Martinique.</x:v>
      </x:c>
      <x:c r="C3" s="49"/>
      <x:c r="D3" s="53" t="str">
        <x:v>Indicateur</x:v>
      </x:c>
      <x:c r="E3" s="53" t="str">
        <x:v>Valeur</x:v>
      </x:c>
      <x:c r="F3" s="49"/>
      <x:c r="G3" s="49"/>
      <x:c r="H3" s="49"/>
    </x:row>
    <x:row r="4">
      <x:c r="A4" s="10" t="str">
        <x:v>Rapport de référence</x:v>
      </x:c>
      <x:c r="B4" s="39" t="str">
        <x:v>ODE — Les chiffres clés de l'eau potable et de l'assainissement en Martinique, 2022.</x:v>
      </x:c>
      <x:c r="C4" s="49"/>
      <x:c r="D4" s="49" t="str">
        <x:v>Nombre de lignes du catalogue</x:v>
      </x:c>
      <x:c r="E4" s="49" t="n">
        <x:f>COUNTA(Catalogue!A2:A200)</x:f>
        <x:v>80</x:v>
      </x:c>
      <x:c r="F4" s="49"/>
      <x:c r="G4" s="49"/>
      <x:c r="H4" s="49"/>
    </x:row>
    <x:row r="5">
      <x:c r="A5" s="10" t="str">
        <x:v>Principe</x:v>
      </x:c>
      <x:c r="B5" s="39" t="str">
        <x:v>SISPEA est le socle, complété par BNPE, portail national assainissement, INSEE, ARS/DEAL et données ODE/RPQS/RAD.</x:v>
      </x:c>
      <x:c r="C5" s="49"/>
      <x:c r="D5" s="49" t="str">
        <x:v>Automatisation directe</x:v>
      </x:c>
      <x:c r="E5" s="49" t="n">
        <x:v>47</x:v>
      </x:c>
      <x:c r="F5" s="49"/>
      <x:c r="G5" s="49"/>
      <x:c r="H5" s="49"/>
    </x:row>
    <x:row r="6">
      <x:c r="A6" s="10" t="str">
        <x:v>Règle importante</x:v>
      </x:c>
      <x:c r="B6" s="39" t="str">
        <x:v>Ne jamais agréger des pourcentages par moyenne simple si les numérateurs/dénominateurs sont disponibles.</x:v>
      </x:c>
      <x:c r="C6" s="49"/>
      <x:c r="D6" s="49" t="str">
        <x:v>Semi-automatique</x:v>
      </x:c>
      <x:c r="E6" s="49" t="n">
        <x:v>29</x:v>
      </x:c>
      <x:c r="F6" s="49"/>
      <x:c r="G6" s="49"/>
      <x:c r="H6" s="49"/>
    </x:row>
    <x:row r="7">
      <x:c r="A7" s="10" t="str">
        <x:v>Temporalité</x:v>
      </x:c>
      <x:c r="B7" s="39" t="str">
        <x:v>Stocker séparément année de référence, année de publication, date d'import et version de source.</x:v>
      </x:c>
      <x:c r="C7" s="49"/>
      <x:c r="D7" s="49" t="str">
        <x:v>Manuel / référence</x:v>
      </x:c>
      <x:c r="E7" s="49" t="n">
        <x:v>6</x:v>
      </x:c>
      <x:c r="F7" s="49"/>
      <x:c r="G7" s="49"/>
      <x:c r="H7" s="49"/>
    </x:row>
    <x:row r="8">
      <x:c r="A8" s="10" t="str">
        <x:v>Validation</x:v>
      </x:c>
      <x:c r="B8" s="39" t="str">
        <x:v>Le rapport 2022 sert de jeu de tests ; un écart doit être signalé, jamais corrigé artificiellement.</x:v>
      </x:c>
      <x:c r="C8" s="49"/>
      <x:c r="D8" s="49" t="str">
        <x:v>Confiance élevée</x:v>
      </x:c>
      <x:c r="E8" s="49" t="n">
        <x:v>36</x:v>
      </x:c>
      <x:c r="F8" s="49"/>
      <x:c r="G8" s="49"/>
      <x:c r="H8" s="49"/>
    </x:row>
    <x:row r="9">
      <x:c r="A9" s="10" t="str">
        <x:v>Statut</x:v>
      </x:c>
      <x:c r="B9" s="39" t="str">
        <x:v>Version de cadrage — les lignes marquées confiance « moyenne/faible » doivent être validées avant codage.</x:v>
      </x:c>
      <x:c r="C9" s="49"/>
      <x:c r="D9" s="49" t="str">
        <x:v>Anomalies de référence</x:v>
      </x:c>
      <x:c r="E9" s="49" t="n">
        <x:f>COUNTA(Anomalies!A2:A50)</x:f>
        <x:v>7</x:v>
      </x:c>
      <x:c r="F9" s="49"/>
      <x:c r="G9" s="49"/>
      <x:c r="H9" s="49"/>
    </x:row>
    <x:row r="10">
      <x:c r="A10" s="49"/>
      <x:c r="B10" s="49"/>
      <x:c r="C10" s="49"/>
      <x:c r="D10" s="49"/>
      <x:c r="E10" s="49"/>
      <x:c r="F10" s="49"/>
      <x:c r="G10" s="49"/>
      <x:c r="H10" s="49"/>
    </x:row>
    <x:row r="11">
      <x:c r="A11" s="54" t="str">
        <x:v>Lecture recommandée</x:v>
      </x:c>
      <x:c r="B11" s="54"/>
      <x:c r="C11" s="54"/>
      <x:c r="D11" s="66" t="str">
        <x:v>Les compteurs sont issus du catalogue actuel et servent uniquement au cadrage.</x:v>
      </x:c>
      <x:c r="E11" s="66"/>
      <x:c r="F11" s="54"/>
      <x:c r="G11" s="54"/>
      <x:c r="H11" s="54"/>
    </x:row>
    <x:row r="12">
      <x:c r="A12" s="39" t="str">
        <x:v>1</x:v>
      </x:c>
      <x:c r="B12" s="39" t="str">
        <x:v>Catalogue</x:v>
      </x:c>
      <x:c r="C12" s="39" t="str">
        <x:v>Définition fonctionnelle, code officiel, source future, formule, règle d'agrégation et mode d'acquisition.</x:v>
      </x:c>
      <x:c r="D12" s="39" t="str"/>
      <x:c r="E12" s="39" t="str"/>
      <x:c r="F12" s="39" t="str"/>
      <x:c r="G12" s="39" t="str"/>
      <x:c r="H12" s="39" t="str"/>
    </x:row>
    <x:row r="13">
      <x:c r="A13" s="39" t="str">
        <x:v>2</x:v>
      </x:c>
      <x:c r="B13" s="39" t="str">
        <x:v>Validation_2022</x:v>
      </x:c>
      <x:c r="C13" s="39" t="str">
        <x:v>Valeurs extraites du rapport pour tester le futur pipeline.</x:v>
      </x:c>
      <x:c r="D13" s="39" t="str"/>
      <x:c r="E13" s="39" t="str"/>
      <x:c r="F13" s="39" t="str"/>
      <x:c r="G13" s="39" t="str"/>
      <x:c r="H13" s="39" t="str"/>
    </x:row>
    <x:row r="14">
      <x:c r="A14" s="39" t="str">
        <x:v>3</x:v>
      </x:c>
      <x:c r="B14" s="39" t="str">
        <x:v>Sources</x:v>
      </x:c>
      <x:c r="C14" s="39" t="str">
        <x:v>Sources officielles actuelles à intégrer au pipeline.</x:v>
      </x:c>
      <x:c r="D14" s="39" t="str"/>
      <x:c r="E14" s="39" t="str"/>
      <x:c r="F14" s="39" t="str"/>
      <x:c r="G14" s="39" t="str"/>
      <x:c r="H14" s="39" t="str"/>
    </x:row>
    <x:row r="15">
      <x:c r="A15" s="39" t="str">
        <x:v>4</x:v>
      </x:c>
      <x:c r="B15" s="39" t="str">
        <x:v>Anomalies</x:v>
      </x:c>
      <x:c r="C15" s="39" t="str">
        <x:v>Incohérences ou ambiguïtés du rapport à résoudre avant développement.</x:v>
      </x:c>
      <x:c r="D15" s="39" t="str"/>
      <x:c r="E15" s="39" t="str"/>
      <x:c r="F15" s="39" t="str"/>
      <x:c r="G15" s="39" t="str"/>
      <x:c r="H15" s="39" t="str"/>
    </x:row>
    <x:row r="17">
      <x:c r="A17" s="61" t="str">
        <x:v>Version générée le 24/09/2026 — ce classeur est un cahier des charges de cadrage, pas encore le schéma final de production.</x:v>
      </x:c>
      <x:c r="B17" s="61"/>
      <x:c r="C17" s="61"/>
      <x:c r="D17" s="61"/>
      <x:c r="E17" s="61"/>
      <x:c r="F17" s="61"/>
      <x:c r="G17" s="61"/>
      <x:c r="H17" s="61"/>
    </x:row>
  </x:sheetData>
  <x:mergeCells>
    <x:mergeCell ref="A1:H1"/>
    <x:mergeCell ref="A11:H11"/>
    <x:mergeCell ref="A17:H17"/>
    <x:mergeCell ref="D11:E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38" hidden="0" customWidth="1"/>
    <x:col min="5" max="5" width="24" hidden="0" customWidth="1"/>
    <x:col min="6" max="6" width="13" hidden="0" customWidth="1"/>
    <x:col min="7" max="7" width="22" hidden="0" customWidth="1"/>
    <x:col min="8" max="8" width="12" hidden="0" customWidth="1"/>
    <x:col min="9" max="9" width="28" hidden="0" customWidth="1"/>
    <x:col min="10" max="10" width="28" hidden="0" customWidth="1"/>
    <x:col min="11" max="11" width="30" hidden="0" customWidth="1"/>
    <x:col min="12" max="12" width="24" hidden="0" customWidth="1"/>
    <x:col min="13" max="13" width="48" hidden="0" customWidth="1"/>
    <x:col min="14" max="14" width="40" hidden="0" customWidth="1"/>
    <x:col min="15" max="15" width="18" hidden="0" customWidth="1"/>
    <x:col min="16" max="16" width="14" hidden="0" customWidth="1"/>
    <x:col min="17" max="17" width="16" hidden="0" customWidth="1"/>
    <x:col min="18" max="18" width="22" hidden="0" customWidth="1"/>
    <x:col min="19" max="19" width="52" hidden="0" customWidth="1"/>
    <x:col min="20" max="20" width="42" hidden="0" customWidth="1"/>
  </x:cols>
  <x:sheetData>
    <x:row r="1">
      <x:c r="A1" s="38" t="str">
        <x:v>ID</x:v>
      </x:c>
      <x:c r="B1" s="38" t="str">
        <x:v>Domaine</x:v>
      </x:c>
      <x:c r="C1" s="38" t="str">
        <x:v>Sous-domaine</x:v>
      </x:c>
      <x:c r="D1" s="38" t="str">
        <x:v>Indicateur / donnée</x:v>
      </x:c>
      <x:c r="E1" s="38" t="str">
        <x:v>Nature</x:v>
      </x:c>
      <x:c r="F1" s="38" t="str">
        <x:v>Unité</x:v>
      </x:c>
      <x:c r="G1" s="38" t="str">
        <x:v>Granularité</x:v>
      </x:c>
      <x:c r="H1" s="38" t="str">
        <x:v>Page(s) rapport</x:v>
      </x:c>
      <x:c r="I1" s="38" t="str">
        <x:v>Valeur 2022 / exemple</x:v>
      </x:c>
      <x:c r="J1" s="38" t="str">
        <x:v>Source citée dans le rapport</x:v>
      </x:c>
      <x:c r="K1" s="38" t="str">
        <x:v>Source future proposée</x:v>
      </x:c>
      <x:c r="L1" s="38" t="str">
        <x:v>Code officiel / variable</x:v>
      </x:c>
      <x:c r="M1" s="38" t="str">
        <x:v>Formule / définition opérationnelle</x:v>
      </x:c>
      <x:c r="N1" s="38" t="str">
        <x:v>Règle d'agrégation</x:v>
      </x:c>
      <x:c r="O1" s="38" t="str">
        <x:v>Acquisition</x:v>
      </x:c>
      <x:c r="P1" s="38" t="str">
        <x:v>Fréquence</x:v>
      </x:c>
      <x:c r="Q1" s="38" t="str">
        <x:v>Confiance mapping</x:v>
      </x:c>
      <x:c r="R1" s="38" t="str">
        <x:v>Table cible proposée</x:v>
      </x:c>
      <x:c r="S1" s="38" t="str">
        <x:v>Commentaire méthodologique</x:v>
      </x:c>
      <x:c r="T1" s="38" t="str">
        <x:v>URL source future</x:v>
      </x:c>
    </x:row>
    <x:row r="2">
      <x:c r="A2" s="39" t="str">
        <x:v>RES_001</x:v>
      </x:c>
      <x:c r="B2" s="39" t="str">
        <x:v>Ressource</x:v>
      </x:c>
      <x:c r="C2" s="39" t="str">
        <x:v>Usages de l'eau</x:v>
      </x:c>
      <x:c r="D2" s="39" t="str">
        <x:v>Part des prélèvements destinée à l'eau potable</x:v>
      </x:c>
      <x:c r="E2" s="39" t="str">
        <x:v>Indicateur annuel calculé</x:v>
      </x:c>
      <x:c r="F2" s="39" t="str">
        <x:v>%</x:v>
      </x:c>
      <x:c r="G2" s="39" t="str">
        <x:v>Martinique / France</x:v>
      </x:c>
      <x:c r="H2" s="39" t="str">
        <x:v>6</x:v>
      </x:c>
      <x:c r="I2" s="39" t="str">
        <x:v>Martinique 71 % ; France 37 %</x:v>
      </x:c>
      <x:c r="J2" s="39" t="str">
        <x:v>ODE, BNPE</x:v>
      </x:c>
      <x:c r="K2" s="39" t="str">
        <x:v>BNPE / Hub'Eau Prélèvements</x:v>
      </x:c>
      <x:c r="L2" s="39" t="str">
        <x:v>—</x:v>
      </x:c>
      <x:c r="M2" s="39" t="str">
        <x:v>Volume AEP / volume total prélevé × 100</x:v>
      </x:c>
      <x:c r="N2" s="39" t="str">
        <x:v>Somme des volumes par usage avant calcul</x:v>
      </x:c>
      <x:c r="O2" s="39" t="str">
        <x:v>AUTO + calcul</x:v>
      </x:c>
      <x:c r="P2" s="39" t="str">
        <x:v>Annuelle</x:v>
      </x:c>
      <x:c r="Q2" s="39" t="str">
        <x:v>Élevée</x:v>
      </x:c>
      <x:c r="R2" s="39" t="str">
        <x:v>fact_prelevement</x:v>
      </x:c>
      <x:c r="S2" s="39" t="str">
        <x:v>Les catégories d'usage BNPE devront être regroupées selon une table de correspondance stable.</x:v>
      </x:c>
      <x:c r="T2" s="39" t="str">
        <x:v>https://www.data.gouv.fr/dataservices/hubeau-prelevements-en-eau</x:v>
      </x:c>
    </x:row>
    <x:row r="3">
      <x:c r="A3" s="39" t="str">
        <x:v>RES_002</x:v>
      </x:c>
      <x:c r="B3" s="39" t="str">
        <x:v>Ressource</x:v>
      </x:c>
      <x:c r="C3" s="39" t="str">
        <x:v>Usages de l'eau</x:v>
      </x:c>
      <x:c r="D3" s="39" t="str">
        <x:v>Part des prélèvements destinée à l'irrigation / agriculture</x:v>
      </x:c>
      <x:c r="E3" s="39" t="str">
        <x:v>Indicateur annuel calculé</x:v>
      </x:c>
      <x:c r="F3" s="39" t="str">
        <x:v>%</x:v>
      </x:c>
      <x:c r="G3" s="39" t="str">
        <x:v>Martinique / France</x:v>
      </x:c>
      <x:c r="H3" s="39" t="str">
        <x:v>6</x:v>
      </x:c>
      <x:c r="I3" s="39" t="str">
        <x:v>Martinique 26 % ; France 49 %</x:v>
      </x:c>
      <x:c r="J3" s="39" t="str">
        <x:v>ODE, BNPE</x:v>
      </x:c>
      <x:c r="K3" s="39" t="str">
        <x:v>BNPE / Hub'Eau Prélèvements</x:v>
      </x:c>
      <x:c r="L3" s="39" t="str">
        <x:v>—</x:v>
      </x:c>
      <x:c r="M3" s="39" t="str">
        <x:v>Volume irrigation / volume total × 100</x:v>
      </x:c>
      <x:c r="N3" s="39" t="str">
        <x:v>Somme des volumes par usage avant calcul</x:v>
      </x:c>
      <x:c r="O3" s="39" t="str">
        <x:v>AUTO + calcul</x:v>
      </x:c>
      <x:c r="P3" s="39" t="str">
        <x:v>Annuelle</x:v>
      </x:c>
      <x:c r="Q3" s="39" t="str">
        <x:v>Élevée</x:v>
      </x:c>
      <x:c r="R3" s="39" t="str">
        <x:v>fact_prelevement</x:v>
      </x:c>
      <x:c r="S3" s="39" t="str">
        <x:v>Vérifier la nomenclature d'usage BNPE selon les millésimes.</x:v>
      </x:c>
      <x:c r="T3" s="39" t="str">
        <x:v>https://www.data.gouv.fr/dataservices/hubeau-prelevements-en-eau</x:v>
      </x:c>
    </x:row>
    <x:row r="4">
      <x:c r="A4" s="39" t="str">
        <x:v>RES_003</x:v>
      </x:c>
      <x:c r="B4" s="39" t="str">
        <x:v>Ressource</x:v>
      </x:c>
      <x:c r="C4" s="39" t="str">
        <x:v>Usages de l'eau</x:v>
      </x:c>
      <x:c r="D4" s="39" t="str">
        <x:v>Part des prélèvements destinée aux usages industriels / autres</x:v>
      </x:c>
      <x:c r="E4" s="39" t="str">
        <x:v>Indicateur annuel calculé</x:v>
      </x:c>
      <x:c r="F4" s="39" t="str">
        <x:v>%</x:v>
      </x:c>
      <x:c r="G4" s="39" t="str">
        <x:v>Martinique / France</x:v>
      </x:c>
      <x:c r="H4" s="39" t="str">
        <x:v>6</x:v>
      </x:c>
      <x:c r="I4" s="39" t="str">
        <x:v>Martinique 3 % ; France 14 %</x:v>
      </x:c>
      <x:c r="J4" s="39" t="str">
        <x:v>ODE, BNPE</x:v>
      </x:c>
      <x:c r="K4" s="39" t="str">
        <x:v>BNPE / Hub'Eau Prélèvements</x:v>
      </x:c>
      <x:c r="L4" s="39" t="str">
        <x:v>—</x:v>
      </x:c>
      <x:c r="M4" s="39" t="str">
        <x:v>Volume industriel/autres / volume total × 100</x:v>
      </x:c>
      <x:c r="N4" s="39" t="str">
        <x:v>Somme des volumes par usage avant calcul</x:v>
      </x:c>
      <x:c r="O4" s="39" t="str">
        <x:v>AUTO + calcul</x:v>
      </x:c>
      <x:c r="P4" s="39" t="str">
        <x:v>Annuelle</x:v>
      </x:c>
      <x:c r="Q4" s="39" t="str">
        <x:v>Moyenne</x:v>
      </x:c>
      <x:c r="R4" s="39" t="str">
        <x:v>fact_prelevement</x:v>
      </x:c>
      <x:c r="S4" s="39" t="str">
        <x:v>Le rapport emploie « usage industriel » p.6 mais « autres » p.12 : harmonisation méthodologique à définir.</x:v>
      </x:c>
      <x:c r="T4" s="39" t="str">
        <x:v>https://www.data.gouv.fr/dataservices/hubeau-prelevements-en-eau</x:v>
      </x:c>
    </x:row>
    <x:row r="5">
      <x:c r="A5" s="39" t="str">
        <x:v>RES_004</x:v>
      </x:c>
      <x:c r="B5" s="39" t="str">
        <x:v>Ressource</x:v>
      </x:c>
      <x:c r="C5" s="39" t="str">
        <x:v>Origine de l'eau AEP</x:v>
      </x:c>
      <x:c r="D5" s="39" t="str">
        <x:v>Part de l'eau AEP provenant des cours d'eau</x:v>
      </x:c>
      <x:c r="E5" s="39" t="str">
        <x:v>Indicateur annuel calculé</x:v>
      </x:c>
      <x:c r="F5" s="39" t="str">
        <x:v>%</x:v>
      </x:c>
      <x:c r="G5" s="39" t="str">
        <x:v>Martinique</x:v>
      </x:c>
      <x:c r="H5" s="39" t="str">
        <x:v>6-7</x:v>
      </x:c>
      <x:c r="I5" s="39" t="str">
        <x:v>94 %</x:v>
      </x:c>
      <x:c r="J5" s="39" t="str">
        <x:v>ODE, BNPE / captages</x:v>
      </x:c>
      <x:c r="K5" s="39" t="str">
        <x:v>BNPE + référentiel ouvrages / SISPEA contexte</x:v>
      </x:c>
      <x:c r="L5" s="39" t="str">
        <x:v>DC.192 (information proche, inverse : part souterraine)</x:v>
      </x:c>
      <x:c r="M5" s="39" t="str">
        <x:v>Volume AEP surface / volume AEP total × 100</x:v>
      </x:c>
      <x:c r="N5" s="39" t="str">
        <x:v>Pondération par volumes prélevés</x:v>
      </x:c>
      <x:c r="O5" s="39" t="str">
        <x:v>AUTO + calcul</x:v>
      </x:c>
      <x:c r="P5" s="39" t="str">
        <x:v>Annuelle</x:v>
      </x:c>
      <x:c r="Q5" s="39" t="str">
        <x:v>Élevée</x:v>
      </x:c>
      <x:c r="R5" s="39" t="str">
        <x:v>fact_prelevement</x:v>
      </x:c>
      <x:c r="S5" s="39" t="str">
        <x:v>Croiser type de ressource des ouvrages avec volumes annuels.</x:v>
      </x:c>
      <x:c r="T5" s="39" t="str">
        <x:v>https://www.data.gouv.fr/datasets/ouvrages-de-prelevement-martinique-1</x:v>
      </x:c>
    </x:row>
    <x:row r="6">
      <x:c r="A6" s="39" t="str">
        <x:v>RES_005</x:v>
      </x:c>
      <x:c r="B6" s="39" t="str">
        <x:v>Ressource</x:v>
      </x:c>
      <x:c r="C6" s="39" t="str">
        <x:v>Origine de l'eau AEP</x:v>
      </x:c>
      <x:c r="D6" s="39" t="str">
        <x:v>Part de l'eau AEP provenant du sous-sol</x:v>
      </x:c>
      <x:c r="E6" s="39" t="str">
        <x:v>Indicateur annuel calculé</x:v>
      </x:c>
      <x:c r="F6" s="39" t="str">
        <x:v>%</x:v>
      </x:c>
      <x:c r="G6" s="39" t="str">
        <x:v>Martinique</x:v>
      </x:c>
      <x:c r="H6" s="39" t="str">
        <x:v>7</x:v>
      </x:c>
      <x:c r="I6" s="39" t="str">
        <x:v>6 %</x:v>
      </x:c>
      <x:c r="J6" s="39" t="str">
        <x:v>ODE, captages</x:v>
      </x:c>
      <x:c r="K6" s="39" t="str">
        <x:v>BNPE + SISPEA</x:v>
      </x:c>
      <x:c r="L6" s="39" t="str">
        <x:v>DC.192</x:v>
      </x:c>
      <x:c r="M6" s="39" t="str">
        <x:v>Volume AEP souterrain / volume AEP total × 100</x:v>
      </x:c>
      <x:c r="N6" s="39" t="str">
        <x:v>Pondération par volumes</x:v>
      </x:c>
      <x:c r="O6" s="39" t="str">
        <x:v>AUTO + calcul</x:v>
      </x:c>
      <x:c r="P6" s="39" t="str">
        <x:v>Annuelle</x:v>
      </x:c>
      <x:c r="Q6" s="39" t="str">
        <x:v>Élevée</x:v>
      </x:c>
      <x:c r="R6" s="39" t="str">
        <x:v>fact_prelevement</x:v>
      </x:c>
      <x:c r="S6" s="39" t="str">
        <x:v>DC.192 peut servir de contrôle de cohérence au niveau service.</x:v>
      </x:c>
      <x:c r="T6" s="39" t="str">
        <x:v>https://www.services.eaufrance.fr/les-variables-de-performance-des-services-d-eau-potable</x:v>
      </x:c>
    </x:row>
    <x:row r="7">
      <x:c r="A7" s="39" t="str">
        <x:v>RES_006</x:v>
      </x:c>
      <x:c r="B7" s="39" t="str">
        <x:v>Ressource</x:v>
      </x:c>
      <x:c r="C7" s="39" t="str">
        <x:v>Cours d'eau</x:v>
      </x:c>
      <x:c r="D7" s="39" t="str">
        <x:v>Part du volume AEP provenant de la Lézarde et affluent Rivière Blanche</x:v>
      </x:c>
      <x:c r="E7" s="39" t="str">
        <x:v>Indicateur annuel calculé</x:v>
      </x:c>
      <x:c r="F7" s="39" t="str">
        <x:v>%</x:v>
      </x:c>
      <x:c r="G7" s="39" t="str">
        <x:v>Cours d'eau / Martinique</x:v>
      </x:c>
      <x:c r="H7" s="39" t="str">
        <x:v>6</x:v>
      </x:c>
      <x:c r="I7" s="39" t="str">
        <x:v>58 %</x:v>
      </x:c>
      <x:c r="J7" s="39" t="str">
        <x:v>ODE, BNPE</x:v>
      </x:c>
      <x:c r="K7" s="39" t="str">
        <x:v>BNPE + référentiel hydrographique SANDRE</x:v>
      </x:c>
      <x:c r="L7" s="39" t="str">
        <x:v>—</x:v>
      </x:c>
      <x:c r="M7" s="39" t="str">
        <x:v>Somme volumes des ouvrages rattachés à la Lézarde et affluent / volume AEP total</x:v>
      </x:c>
      <x:c r="N7" s="39" t="str">
        <x:v>Agrégation par code hydrographique</x:v>
      </x:c>
      <x:c r="O7" s="39" t="str">
        <x:v>AUTO + calcul</x:v>
      </x:c>
      <x:c r="P7" s="39" t="str">
        <x:v>Annuelle</x:v>
      </x:c>
      <x:c r="Q7" s="39" t="str">
        <x:v>Moyenne</x:v>
      </x:c>
      <x:c r="R7" s="39" t="str">
        <x:v>fact_prelevement</x:v>
      </x:c>
      <x:c r="S7" s="39" t="str">
        <x:v>La règle d'appartenance des ouvrages à la Lézarde doit être explicitée et versionnée.</x:v>
      </x:c>
      <x:c r="T7" s="39" t="str">
        <x:v>https://www.data.gouv.fr/dataservices/hubeau-prelevements-en-eau</x:v>
      </x:c>
    </x:row>
    <x:row r="8">
      <x:c r="A8" s="39" t="str">
        <x:v>RES_007</x:v>
      </x:c>
      <x:c r="B8" s="39" t="str">
        <x:v>Ressource</x:v>
      </x:c>
      <x:c r="C8" s="39" t="str">
        <x:v>Captages AEP</x:v>
      </x:c>
      <x:c r="D8" s="39" t="str">
        <x:v>Nombre total de captages pour l'eau potable</x:v>
      </x:c>
      <x:c r="E8" s="39" t="str">
        <x:v>Donnée de patrimoine</x:v>
      </x:c>
      <x:c r="F8" s="39" t="str">
        <x:v>nb</x:v>
      </x:c>
      <x:c r="G8" s="39" t="str">
        <x:v>Ouvrage / Martinique</x:v>
      </x:c>
      <x:c r="H8" s="39" t="str">
        <x:v>7</x:v>
      </x:c>
      <x:c r="I8" s="39" t="str">
        <x:v>35</x:v>
      </x:c>
      <x:c r="J8" s="39" t="str">
        <x:v>Non explicitée précisément ; PPC / ODE</x:v>
      </x:c>
      <x:c r="K8" s="39" t="str">
        <x:v>BNPE/SANDRE ouvrages + ODE/ARS</x:v>
      </x:c>
      <x:c r="L8" s="39" t="str">
        <x:v>—</x:v>
      </x:c>
      <x:c r="M8" s="39" t="str">
        <x:v>Comptage des ouvrages AEP actifs au millésime</x:v>
      </x:c>
      <x:c r="N8" s="39" t="str">
        <x:v>Déduplication par identifiant ouvrage</x:v>
      </x:c>
      <x:c r="O8" s="39" t="str">
        <x:v>SEMI-AUTO</x:v>
      </x:c>
      <x:c r="P8" s="39" t="str">
        <x:v>Annuelle</x:v>
      </x:c>
      <x:c r="Q8" s="39" t="str">
        <x:v>Moyenne</x:v>
      </x:c>
      <x:c r="R8" s="39" t="str">
        <x:v>dim_ouvrage</x:v>
      </x:c>
      <x:c r="S8" s="39" t="str">
        <x:v>Le référentiel BNPE n'est pas nécessairement exhaustif de tous les points d'eau ; contrôler avec l'inventaire ODE/ARS.</x:v>
      </x:c>
      <x:c r="T8" s="39" t="str">
        <x:v>https://www.data.gouv.fr/datasets/ouvrages-de-prelevement-martinique-1</x:v>
      </x:c>
    </x:row>
    <x:row r="9">
      <x:c r="A9" s="39" t="str">
        <x:v>RES_008</x:v>
      </x:c>
      <x:c r="B9" s="39" t="str">
        <x:v>Ressource</x:v>
      </x:c>
      <x:c r="C9" s="39" t="str">
        <x:v>Captages AEP</x:v>
      </x:c>
      <x:c r="D9" s="39" t="str">
        <x:v>Nombre de prises d'eau en rivière</x:v>
      </x:c>
      <x:c r="E9" s="39" t="str">
        <x:v>Donnée de patrimoine</x:v>
      </x:c>
      <x:c r="F9" s="39" t="str">
        <x:v>nb</x:v>
      </x:c>
      <x:c r="G9" s="39" t="str">
        <x:v>Ouvrage / Martinique</x:v>
      </x:c>
      <x:c r="H9" s="39" t="str">
        <x:v>7</x:v>
      </x:c>
      <x:c r="I9" s="39" t="str">
        <x:v>20</x:v>
      </x:c>
      <x:c r="J9" s="39" t="str">
        <x:v>Non explicitée précisément</x:v>
      </x:c>
      <x:c r="K9" s="39" t="str">
        <x:v>BNPE/SANDRE ouvrages + ODE</x:v>
      </x:c>
      <x:c r="L9" s="39" t="str">
        <x:v>—</x:v>
      </x:c>
      <x:c r="M9" s="39" t="str">
        <x:v>Comptage des captages de type prise en rivière</x:v>
      </x:c>
      <x:c r="N9" s="39" t="str">
        <x:v>Somme</x:v>
      </x:c>
      <x:c r="O9" s="39" t="str">
        <x:v>SEMI-AUTO</x:v>
      </x:c>
      <x:c r="P9" s="39" t="str">
        <x:v>Annuelle</x:v>
      </x:c>
      <x:c r="Q9" s="39" t="str">
        <x:v>Moyenne</x:v>
      </x:c>
      <x:c r="R9" s="39" t="str">
        <x:v>dim_ouvrage</x:v>
      </x:c>
      <x:c r="S9" s="39" t="str">
        <x:v>Nécessite une typologie robuste des ouvrages.</x:v>
      </x:c>
      <x:c r="T9" s="39" t="str">
        <x:v>https://www.data.gouv.fr/datasets/ouvrages-de-prelevement-martinique-1</x:v>
      </x:c>
    </x:row>
    <x:row r="10">
      <x:c r="A10" s="39" t="str">
        <x:v>RES_009</x:v>
      </x:c>
      <x:c r="B10" s="39" t="str">
        <x:v>Ressource</x:v>
      </x:c>
      <x:c r="C10" s="39" t="str">
        <x:v>Captages AEP</x:v>
      </x:c>
      <x:c r="D10" s="39" t="str">
        <x:v>Nombre de captages souterrains</x:v>
      </x:c>
      <x:c r="E10" s="39" t="str">
        <x:v>Donnée de patrimoine</x:v>
      </x:c>
      <x:c r="F10" s="39" t="str">
        <x:v>nb</x:v>
      </x:c>
      <x:c r="G10" s="39" t="str">
        <x:v>Ouvrage / Martinique</x:v>
      </x:c>
      <x:c r="H10" s="39" t="str">
        <x:v>7</x:v>
      </x:c>
      <x:c r="I10" s="39" t="str">
        <x:v>15</x:v>
      </x:c>
      <x:c r="J10" s="39" t="str">
        <x:v>Non explicitée précisément</x:v>
      </x:c>
      <x:c r="K10" s="39" t="str">
        <x:v>BNPE/SANDRE ouvrages + ODE</x:v>
      </x:c>
      <x:c r="L10" s="39" t="str">
        <x:v>—</x:v>
      </x:c>
      <x:c r="M10" s="39" t="str">
        <x:v>Sources + forages actifs</x:v>
      </x:c>
      <x:c r="N10" s="39" t="str">
        <x:v>Somme</x:v>
      </x:c>
      <x:c r="O10" s="39" t="str">
        <x:v>SEMI-AUTO</x:v>
      </x:c>
      <x:c r="P10" s="39" t="str">
        <x:v>Annuelle</x:v>
      </x:c>
      <x:c r="Q10" s="39" t="str">
        <x:v>Moyenne</x:v>
      </x:c>
      <x:c r="R10" s="39" t="str">
        <x:v>dim_ouvrage</x:v>
      </x:c>
      <x:c r="S10" s="39" t="str"/>
      <x:c r="T10" s="39" t="str">
        <x:v>https://www.data.gouv.fr/datasets/ouvrages-de-prelevement-martinique-1</x:v>
      </x:c>
    </x:row>
    <x:row r="11">
      <x:c r="A11" s="39" t="str">
        <x:v>RES_010</x:v>
      </x:c>
      <x:c r="B11" s="39" t="str">
        <x:v>Ressource</x:v>
      </x:c>
      <x:c r="C11" s="39" t="str">
        <x:v>Captages AEP</x:v>
      </x:c>
      <x:c r="D11" s="39" t="str">
        <x:v>Nombre de sources</x:v>
      </x:c>
      <x:c r="E11" s="39" t="str">
        <x:v>Donnée de patrimoine</x:v>
      </x:c>
      <x:c r="F11" s="39" t="str">
        <x:v>nb</x:v>
      </x:c>
      <x:c r="G11" s="39" t="str">
        <x:v>Ouvrage / Martinique</x:v>
      </x:c>
      <x:c r="H11" s="39" t="str">
        <x:v>7</x:v>
      </x:c>
      <x:c r="I11" s="39" t="str">
        <x:v>11</x:v>
      </x:c>
      <x:c r="J11" s="39" t="str">
        <x:v>Non explicitée précisément</x:v>
      </x:c>
      <x:c r="K11" s="39" t="str">
        <x:v>BNPE/SANDRE ouvrages + ODE</x:v>
      </x:c>
      <x:c r="L11" s="39" t="str">
        <x:v>—</x:v>
      </x:c>
      <x:c r="M11" s="39" t="str">
        <x:v>Comptage type = source</x:v>
      </x:c>
      <x:c r="N11" s="39" t="str">
        <x:v>Somme</x:v>
      </x:c>
      <x:c r="O11" s="39" t="str">
        <x:v>SEMI-AUTO</x:v>
      </x:c>
      <x:c r="P11" s="39" t="str">
        <x:v>Annuelle</x:v>
      </x:c>
      <x:c r="Q11" s="39" t="str">
        <x:v>Moyenne</x:v>
      </x:c>
      <x:c r="R11" s="39" t="str">
        <x:v>dim_ouvrage</x:v>
      </x:c>
      <x:c r="S11" s="39" t="str"/>
      <x:c r="T11" s="39" t="str">
        <x:v>https://www.data.gouv.fr/datasets/ouvrages-de-prelevement-martinique-1</x:v>
      </x:c>
    </x:row>
    <x:row r="12">
      <x:c r="A12" s="39" t="str">
        <x:v>RES_011</x:v>
      </x:c>
      <x:c r="B12" s="39" t="str">
        <x:v>Ressource</x:v>
      </x:c>
      <x:c r="C12" s="39" t="str">
        <x:v>Captages AEP</x:v>
      </x:c>
      <x:c r="D12" s="39" t="str">
        <x:v>Nombre de forages</x:v>
      </x:c>
      <x:c r="E12" s="39" t="str">
        <x:v>Donnée de patrimoine</x:v>
      </x:c>
      <x:c r="F12" s="39" t="str">
        <x:v>nb</x:v>
      </x:c>
      <x:c r="G12" s="39" t="str">
        <x:v>Ouvrage / Martinique</x:v>
      </x:c>
      <x:c r="H12" s="39" t="str">
        <x:v>7</x:v>
      </x:c>
      <x:c r="I12" s="39" t="str">
        <x:v>4</x:v>
      </x:c>
      <x:c r="J12" s="39" t="str">
        <x:v>Non explicitée précisément</x:v>
      </x:c>
      <x:c r="K12" s="39" t="str">
        <x:v>BNPE/SANDRE ouvrages + ODE</x:v>
      </x:c>
      <x:c r="L12" s="39" t="str">
        <x:v>—</x:v>
      </x:c>
      <x:c r="M12" s="39" t="str">
        <x:v>Comptage type = forage</x:v>
      </x:c>
      <x:c r="N12" s="39" t="str">
        <x:v>Somme</x:v>
      </x:c>
      <x:c r="O12" s="39" t="str">
        <x:v>SEMI-AUTO</x:v>
      </x:c>
      <x:c r="P12" s="39" t="str">
        <x:v>Annuelle</x:v>
      </x:c>
      <x:c r="Q12" s="39" t="str">
        <x:v>Moyenne</x:v>
      </x:c>
      <x:c r="R12" s="39" t="str">
        <x:v>dim_ouvrage</x:v>
      </x:c>
      <x:c r="S12" s="39" t="str"/>
      <x:c r="T12" s="39" t="str">
        <x:v>https://www.data.gouv.fr/datasets/ouvrages-de-prelevement-martinique-1</x:v>
      </x:c>
    </x:row>
    <x:row r="13">
      <x:c r="A13" s="39" t="str">
        <x:v>RES_012</x:v>
      </x:c>
      <x:c r="B13" s="39" t="str">
        <x:v>Ressource</x:v>
      </x:c>
      <x:c r="C13" s="39" t="str">
        <x:v>Protection captages</x:v>
      </x:c>
      <x:c r="D13" s="39" t="str">
        <x:v>Nombre de captages disposant d'un périmètre de protection</x:v>
      </x:c>
      <x:c r="E13" s="39" t="str">
        <x:v>Donnée de patrimoine réglementaire</x:v>
      </x:c>
      <x:c r="F13" s="39" t="str">
        <x:v>nb</x:v>
      </x:c>
      <x:c r="G13" s="39" t="str">
        <x:v>Ouvrage / Martinique</x:v>
      </x:c>
      <x:c r="H13" s="39" t="str">
        <x:v>7</x:v>
      </x:c>
      <x:c r="I13" s="39" t="str">
        <x:v>26 / 35</x:v>
      </x:c>
      <x:c r="J13" s="39" t="str">
        <x:v>PPC ; SE Soiron pour l'illustration</x:v>
      </x:c>
      <x:c r="K13" s="39" t="str">
        <x:v>ARS / ODE / arrêtés préfectoraux</x:v>
      </x:c>
      <x:c r="L13" s="39" t="str">
        <x:v>P108.3 est lié mais non équivalent</x:v>
      </x:c>
      <x:c r="M13" s="39" t="str">
        <x:v>Comptage des ouvrages avec PPC/DUP répondant au critère retenu</x:v>
      </x:c>
      <x:c r="N13" s="39" t="str">
        <x:v>Somme</x:v>
      </x:c>
      <x:c r="O13" s="39" t="str">
        <x:v>SEMI-AUTO</x:v>
      </x:c>
      <x:c r="P13" s="39" t="str">
        <x:v>Annuelle</x:v>
      </x:c>
      <x:c r="Q13" s="39" t="str">
        <x:v>Moyenne</x:v>
      </x:c>
      <x:c r="R13" s="39" t="str">
        <x:v>fact_protection_captage</x:v>
      </x:c>
      <x:c r="S13" s="39" t="str">
        <x:v>Ne pas confondre avec P108.3, qui mesure l'avancement de la protection et est pondéré par les volumes.</x:v>
      </x:c>
      <x:c r="T13" s="39" t="str">
        <x:v>https://www.services.eaufrance.fr/indicateurs/P108.3</x:v>
      </x:c>
    </x:row>
    <x:row r="14">
      <x:c r="A14" s="39" t="str">
        <x:v>RES_013</x:v>
      </x:c>
      <x:c r="B14" s="39" t="str">
        <x:v>Ressource</x:v>
      </x:c>
      <x:c r="C14" s="39" t="str">
        <x:v>Protection captages</x:v>
      </x:c>
      <x:c r="D14" s="39" t="str">
        <x:v>Taux de captages protégés</x:v>
      </x:c>
      <x:c r="E14" s="39" t="str">
        <x:v>Indicateur annuel calculé</x:v>
      </x:c>
      <x:c r="F14" s="39" t="str">
        <x:v>%</x:v>
      </x:c>
      <x:c r="G14" s="39" t="str">
        <x:v>Martinique</x:v>
      </x:c>
      <x:c r="H14" s="39" t="str">
        <x:v>7</x:v>
      </x:c>
      <x:c r="I14" s="39" t="str">
        <x:v>74 %</x:v>
      </x:c>
      <x:c r="J14" s="39" t="str">
        <x:v>PPC</x:v>
      </x:c>
      <x:c r="K14" s="39" t="str">
        <x:v>ARS / ODE</x:v>
      </x:c>
      <x:c r="L14" s="39" t="str">
        <x:v>P108.3 est lié mais non équivalent</x:v>
      </x:c>
      <x:c r="M14" s="39" t="str">
        <x:v>Nb captages protégés / nb captages retenus × 100</x:v>
      </x:c>
      <x:c r="N14" s="39" t="str">
        <x:v>Ratio de comptages</x:v>
      </x:c>
      <x:c r="O14" s="39" t="str">
        <x:v>SEMI-AUTO + calcul</x:v>
      </x:c>
      <x:c r="P14" s="39" t="str">
        <x:v>Annuelle</x:v>
      </x:c>
      <x:c r="Q14" s="39" t="str">
        <x:v>Moyenne</x:v>
      </x:c>
      <x:c r="R14" s="39" t="str">
        <x:v>fact_indicateur</x:v>
      </x:c>
      <x:c r="S14" s="39" t="str">
        <x:v>Conserver aussi P108.3 séparément dans la base.</x:v>
      </x:c>
      <x:c r="T14" s="39" t="str">
        <x:v>https://www.services.eaufrance.fr/indicateurs/P108.3</x:v>
      </x:c>
    </x:row>
    <x:row r="15">
      <x:c r="A15" s="39" t="str">
        <x:v>RES_014</x:v>
      </x:c>
      <x:c r="B15" s="39" t="str">
        <x:v>Ressource</x:v>
      </x:c>
      <x:c r="C15" s="39" t="str">
        <x:v>Prélèvements</x:v>
      </x:c>
      <x:c r="D15" s="39" t="str">
        <x:v>Volume total prélevé pour l'AEP</x:v>
      </x:c>
      <x:c r="E15" s="39" t="str">
        <x:v>Donnée annuelle</x:v>
      </x:c>
      <x:c r="F15" s="39" t="str">
        <x:v>m³/an</x:v>
      </x:c>
      <x:c r="G15" s="39" t="str">
        <x:v>Ouvrage / Martinique</x:v>
      </x:c>
      <x:c r="H15" s="39" t="str">
        <x:v>8,12</x:v>
      </x:c>
      <x:c r="I15" s="39" t="str">
        <x:v>44 771 108</x:v>
      </x:c>
      <x:c r="J15" s="39" t="str">
        <x:v>BNPE / ODE</x:v>
      </x:c>
      <x:c r="K15" s="39" t="str">
        <x:v>BNPE / Hub'Eau ; contrôle SISPEA</x:v>
      </x:c>
      <x:c r="L15" s="39" t="str">
        <x:v>VP.062 au niveau service</x:v>
      </x:c>
      <x:c r="M15" s="39" t="str">
        <x:v>Somme des prélèvements AEP</x:v>
      </x:c>
      <x:c r="N15" s="39" t="str">
        <x:v>Somme par ouvrage, contrôle anti-double-compte</x:v>
      </x:c>
      <x:c r="O15" s="39" t="str">
        <x:v>AUTO</x:v>
      </x:c>
      <x:c r="P15" s="39" t="str">
        <x:v>Annuelle</x:v>
      </x:c>
      <x:c r="Q15" s="39" t="str">
        <x:v>Élevée</x:v>
      </x:c>
      <x:c r="R15" s="39" t="str">
        <x:v>fact_prelevement</x:v>
      </x:c>
      <x:c r="S15" s="39" t="str"/>
      <x:c r="T15" s="39" t="str">
        <x:v>https://www.services.eaufrance.fr/variables/vp.062</x:v>
      </x:c>
    </x:row>
    <x:row r="16">
      <x:c r="A16" s="39" t="str">
        <x:v>RES_015</x:v>
      </x:c>
      <x:c r="B16" s="39" t="str">
        <x:v>Ressource</x:v>
      </x:c>
      <x:c r="C16" s="39" t="str">
        <x:v>Prélèvements</x:v>
      </x:c>
      <x:c r="D16" s="39" t="str">
        <x:v>Volume total prélevé tous usages</x:v>
      </x:c>
      <x:c r="E16" s="39" t="str">
        <x:v>Donnée annuelle</x:v>
      </x:c>
      <x:c r="F16" s="39" t="str">
        <x:v>m³/an</x:v>
      </x:c>
      <x:c r="G16" s="39" t="str">
        <x:v>Ouvrage / Martinique</x:v>
      </x:c>
      <x:c r="H16" s="39" t="str">
        <x:v>12</x:v>
      </x:c>
      <x:c r="I16" s="39" t="str">
        <x:v>63 447 442</x:v>
      </x:c>
      <x:c r="J16" s="39" t="str">
        <x:v>ODE, BNPE</x:v>
      </x:c>
      <x:c r="K16" s="39" t="str">
        <x:v>BNPE / Hub'Eau</x:v>
      </x:c>
      <x:c r="L16" s="39" t="str">
        <x:v>—</x:v>
      </x:c>
      <x:c r="M16" s="39" t="str">
        <x:v>Somme de tous les volumes soumis au périmètre BNPE retenu</x:v>
      </x:c>
      <x:c r="N16" s="39" t="str">
        <x:v>Somme</x:v>
      </x:c>
      <x:c r="O16" s="39" t="str">
        <x:v>AUTO</x:v>
      </x:c>
      <x:c r="P16" s="39" t="str">
        <x:v>Annuelle</x:v>
      </x:c>
      <x:c r="Q16" s="39" t="str">
        <x:v>Élevée</x:v>
      </x:c>
      <x:c r="R16" s="39" t="str">
        <x:v>fact_prelevement</x:v>
      </x:c>
      <x:c r="S16" s="39" t="str"/>
      <x:c r="T16" s="39" t="str">
        <x:v>https://www.data.gouv.fr/dataservices/hubeau-prelevements-en-eau</x:v>
      </x:c>
    </x:row>
    <x:row r="17">
      <x:c r="A17" s="39" t="str">
        <x:v>RES_016</x:v>
      </x:c>
      <x:c r="B17" s="39" t="str">
        <x:v>Ressource</x:v>
      </x:c>
      <x:c r="C17" s="39" t="str">
        <x:v>Prélèvements</x:v>
      </x:c>
      <x:c r="D17" s="39" t="str">
        <x:v>Volume prélevé pour l'irrigation</x:v>
      </x:c>
      <x:c r="E17" s="39" t="str">
        <x:v>Donnée annuelle</x:v>
      </x:c>
      <x:c r="F17" s="39" t="str">
        <x:v>m³/an</x:v>
      </x:c>
      <x:c r="G17" s="39" t="str">
        <x:v>Ouvrage / Martinique</x:v>
      </x:c>
      <x:c r="H17" s="39" t="str">
        <x:v>12</x:v>
      </x:c>
      <x:c r="I17" s="39" t="str">
        <x:v>16 458 155</x:v>
      </x:c>
      <x:c r="J17" s="39" t="str">
        <x:v>ODE, BNPE</x:v>
      </x:c>
      <x:c r="K17" s="39" t="str">
        <x:v>BNPE / Hub'Eau</x:v>
      </x:c>
      <x:c r="L17" s="39" t="str">
        <x:v>—</x:v>
      </x:c>
      <x:c r="M17" s="39" t="str">
        <x:v>Somme usage irrigation</x:v>
      </x:c>
      <x:c r="N17" s="39" t="str">
        <x:v>Somme</x:v>
      </x:c>
      <x:c r="O17" s="39" t="str">
        <x:v>AUTO</x:v>
      </x:c>
      <x:c r="P17" s="39" t="str">
        <x:v>Annuelle</x:v>
      </x:c>
      <x:c r="Q17" s="39" t="str">
        <x:v>Élevée</x:v>
      </x:c>
      <x:c r="R17" s="39" t="str">
        <x:v>fact_prelevement</x:v>
      </x:c>
      <x:c r="S17" s="39" t="str"/>
      <x:c r="T17" s="39" t="str">
        <x:v>https://www.data.gouv.fr/dataservices/hubeau-prelevements-en-eau</x:v>
      </x:c>
    </x:row>
    <x:row r="18">
      <x:c r="A18" s="39" t="str">
        <x:v>RES_017</x:v>
      </x:c>
      <x:c r="B18" s="39" t="str">
        <x:v>Ressource</x:v>
      </x:c>
      <x:c r="C18" s="39" t="str">
        <x:v>Prélèvements</x:v>
      </x:c>
      <x:c r="D18" s="39" t="str">
        <x:v>Volume prélevé pour les autres usages</x:v>
      </x:c>
      <x:c r="E18" s="39" t="str">
        <x:v>Donnée annuelle</x:v>
      </x:c>
      <x:c r="F18" s="39" t="str">
        <x:v>m³/an</x:v>
      </x:c>
      <x:c r="G18" s="39" t="str">
        <x:v>Ouvrage / Martinique</x:v>
      </x:c>
      <x:c r="H18" s="39" t="str">
        <x:v>12</x:v>
      </x:c>
      <x:c r="I18" s="39" t="str">
        <x:v>2 218 179</x:v>
      </x:c>
      <x:c r="J18" s="39" t="str">
        <x:v>ODE, BNPE</x:v>
      </x:c>
      <x:c r="K18" s="39" t="str">
        <x:v>BNPE / Hub'Eau</x:v>
      </x:c>
      <x:c r="L18" s="39" t="str">
        <x:v>—</x:v>
      </x:c>
      <x:c r="M18" s="39" t="str">
        <x:v>Somme usages hors AEP et irrigation selon nomenclature validée</x:v>
      </x:c>
      <x:c r="N18" s="39" t="str">
        <x:v>Somme</x:v>
      </x:c>
      <x:c r="O18" s="39" t="str">
        <x:v>AUTO</x:v>
      </x:c>
      <x:c r="P18" s="39" t="str">
        <x:v>Annuelle</x:v>
      </x:c>
      <x:c r="Q18" s="39" t="str">
        <x:v>Moyenne</x:v>
      </x:c>
      <x:c r="R18" s="39" t="str">
        <x:v>fact_prelevement</x:v>
      </x:c>
      <x:c r="S18" s="39" t="str">
        <x:v>La catégorie doit être précisément alignée avec celle du rapport.</x:v>
      </x:c>
      <x:c r="T18" s="39" t="str">
        <x:v>https://www.data.gouv.fr/dataservices/hubeau-prelevements-en-eau</x:v>
      </x:c>
    </x:row>
    <x:row r="19">
      <x:c r="A19" s="39" t="str">
        <x:v>RES_018</x:v>
      </x:c>
      <x:c r="B19" s="39" t="str">
        <x:v>Ressource</x:v>
      </x:c>
      <x:c r="C19" s="39" t="str">
        <x:v>Prélèvements</x:v>
      </x:c>
      <x:c r="D19" s="39" t="str">
        <x:v>Débit annuel moyen équivalent des prélèvements AEP</x:v>
      </x:c>
      <x:c r="E19" s="39" t="str">
        <x:v>Indicateur dérivé</x:v>
      </x:c>
      <x:c r="F19" s="39" t="str">
        <x:v>L/s</x:v>
      </x:c>
      <x:c r="G19" s="39" t="str">
        <x:v>Martinique</x:v>
      </x:c>
      <x:c r="H19" s="39" t="str">
        <x:v>8</x:v>
      </x:c>
      <x:c r="I19" s="39" t="str">
        <x:v>1 419,53</x:v>
      </x:c>
      <x:c r="J19" s="39" t="str">
        <x:v>Calcul ODE</x:v>
      </x:c>
      <x:c r="K19" s="39" t="str">
        <x:v>Calcul interne à partir de RES_014</x:v>
      </x:c>
      <x:c r="L19" s="39" t="str">
        <x:v>—</x:v>
      </x:c>
      <x:c r="M19" s="39" t="str">
        <x:v>volume annuel ×1000 / secondes de l'année</x:v>
      </x:c>
      <x:c r="N19" s="39" t="str">
        <x:v>Non applicable</x:v>
      </x:c>
      <x:c r="O19" s="39" t="str">
        <x:v>AUTO + calcul</x:v>
      </x:c>
      <x:c r="P19" s="39" t="str">
        <x:v>Annuelle</x:v>
      </x:c>
      <x:c r="Q19" s="39" t="str">
        <x:v>Élevée</x:v>
      </x:c>
      <x:c r="R19" s="39" t="str">
        <x:v>fact_indicateur</x:v>
      </x:c>
      <x:c r="S19" s="39" t="str">
        <x:v>Indicateur de communication, pas nécessaire au cœur métier.</x:v>
      </x:c>
      <x:c r="T19" s="39" t="str"/>
    </x:row>
    <x:row r="20">
      <x:c r="A20" s="39" t="str">
        <x:v>RES_019</x:v>
      </x:c>
      <x:c r="B20" s="39" t="str">
        <x:v>Ressource</x:v>
      </x:c>
      <x:c r="C20" s="39" t="str">
        <x:v>Prélèvements</x:v>
      </x:c>
      <x:c r="D20" s="39" t="str">
        <x:v>Volume prélevé par captage</x:v>
      </x:c>
      <x:c r="E20" s="39" t="str">
        <x:v>Donnée annuelle géolocalisée</x:v>
      </x:c>
      <x:c r="F20" s="39" t="str">
        <x:v>m³/an</x:v>
      </x:c>
      <x:c r="G20" s="39" t="str">
        <x:v>Captage</x:v>
      </x:c>
      <x:c r="H20" s="39" t="str">
        <x:v>9</x:v>
      </x:c>
      <x:c r="I20" s="39" t="str">
        <x:v>Carte des volumes 2022</x:v>
      </x:c>
      <x:c r="J20" s="39" t="str">
        <x:v>BNPE, ARS, ODE</x:v>
      </x:c>
      <x:c r="K20" s="39" t="str">
        <x:v>BNPE / Hub'Eau + référentiel ouvrages</x:v>
      </x:c>
      <x:c r="L20" s="39" t="str">
        <x:v>VP.223 possible côté SISPEA</x:v>
      </x:c>
      <x:c r="M20" s="39" t="str">
        <x:v>Valeur par identifiant ouvrage/captage</x:v>
      </x:c>
      <x:c r="N20" s="39" t="str">
        <x:v>Aucune avant stockage ; agrégation ensuite</x:v>
      </x:c>
      <x:c r="O20" s="39" t="str">
        <x:v>AUTO</x:v>
      </x:c>
      <x:c r="P20" s="39" t="str">
        <x:v>Annuelle</x:v>
      </x:c>
      <x:c r="Q20" s="39" t="str">
        <x:v>Élevée</x:v>
      </x:c>
      <x:c r="R20" s="39" t="str">
        <x:v>fact_prelevement</x:v>
      </x:c>
      <x:c r="S20" s="39" t="str">
        <x:v>Base indispensable pour reproduire la carte p.9.</x:v>
      </x:c>
      <x:c r="T20" s="39" t="str">
        <x:v>https://www.data.gouv.fr/dataservices/hubeau-prelevements-en-eau</x:v>
      </x:c>
    </x:row>
    <x:row r="21">
      <x:c r="A21" s="39" t="str">
        <x:v>EP_001</x:v>
      </x:c>
      <x:c r="B21" s="39" t="str">
        <x:v>Eau potable</x:v>
      </x:c>
      <x:c r="C21" s="39" t="str">
        <x:v>Consommation</x:v>
      </x:c>
      <x:c r="D21" s="39" t="str">
        <x:v>Consommation moyenne par jour et par habitant</x:v>
      </x:c>
      <x:c r="E21" s="39" t="str">
        <x:v>Indicateur annuel calculé</x:v>
      </x:c>
      <x:c r="F21" s="39" t="str">
        <x:v>L/j/hab</x:v>
      </x:c>
      <x:c r="G21" s="39" t="str">
        <x:v>Martinique</x:v>
      </x:c>
      <x:c r="H21" s="39" t="str">
        <x:v>10</x:v>
      </x:c>
      <x:c r="I21" s="39" t="str">
        <x:v>160</x:v>
      </x:c>
      <x:c r="J21" s="39" t="str">
        <x:v>SISPEA 2023 + sources comparatives</x:v>
      </x:c>
      <x:c r="K21" s="39" t="str">
        <x:v>SISPEA + INSEE ; méthode ODE à verrouiller</x:v>
      </x:c>
      <x:c r="L21" s="39" t="str">
        <x:v>—</x:v>
      </x:c>
      <x:c r="M21" s="39" t="str">
        <x:v>À confirmer : volume domestique/facturé pertinent ×1000 / population / jours</x:v>
      </x:c>
      <x:c r="N21" s="39" t="str">
        <x:v>Somme des volumes et populations avant calcul</x:v>
      </x:c>
      <x:c r="O21" s="39" t="str">
        <x:v>AUTO + calcul</x:v>
      </x:c>
      <x:c r="P21" s="39" t="str">
        <x:v>Annuelle</x:v>
      </x:c>
      <x:c r="Q21" s="39" t="str">
        <x:v>Moyenne</x:v>
      </x:c>
      <x:c r="R21" s="39" t="str">
        <x:v>fact_indicateur</x:v>
      </x:c>
      <x:c r="S21" s="39" t="str">
        <x:v>La formule exacte employée par le rapport doit être validée avant codage.</x:v>
      </x:c>
      <x:c r="T21" s="39" t="str">
        <x:v>https://www.services.eaufrance.fr/pro/telechargement</x:v>
      </x:c>
    </x:row>
    <x:row r="22">
      <x:c r="A22" s="39" t="str">
        <x:v>EP_002</x:v>
      </x:c>
      <x:c r="B22" s="39" t="str">
        <x:v>Eau potable</x:v>
      </x:c>
      <x:c r="C22" s="39" t="str">
        <x:v>Usages domestiques</x:v>
      </x:c>
      <x:c r="D22" s="39" t="str">
        <x:v>Répartition des usages domestiques (boisson, divers, jardin/auto, lessive, cuisine/vaisselle, sanitaires, bain/douche)</x:v>
      </x:c>
      <x:c r="E22" s="39" t="str">
        <x:v>Référence contextuelle</x:v>
      </x:c>
      <x:c r="F22" s="39" t="str">
        <x:v>%</x:v>
      </x:c>
      <x:c r="G22" s="39" t="str">
        <x:v>France / référence</x:v>
      </x:c>
      <x:c r="H22" s="39" t="str">
        <x:v>10</x:v>
      </x:c>
      <x:c r="I22" s="39" t="str">
        <x:v>1 ; 6 ; 6 ; 12 ; 16 ; 20 ; 39 %</x:v>
      </x:c>
      <x:c r="J22" s="39" t="str">
        <x:v>CIEau 2001</x:v>
      </x:c>
      <x:c r="K22" s="39" t="str">
        <x:v>Référence figée ou étude actualisée à choisir</x:v>
      </x:c>
      <x:c r="L22" s="39" t="str">
        <x:v>—</x:v>
      </x:c>
      <x:c r="M22" s="39" t="str">
        <x:v>Aucun calcul annuel</x:v>
      </x:c>
      <x:c r="N22" s="39" t="str">
        <x:v>Non agrégé</x:v>
      </x:c>
      <x:c r="O22" s="39" t="str">
        <x:v>MANUEL / RÉFÉRENCE</x:v>
      </x:c>
      <x:c r="P22" s="39" t="str">
        <x:v>Ponctuelle</x:v>
      </x:c>
      <x:c r="Q22" s="39" t="str">
        <x:v>Élevée pour le rapport</x:v>
      </x:c>
      <x:c r="R22" s="39" t="str">
        <x:v>dim_reference</x:v>
      </x:c>
      <x:c r="S22" s="39" t="str">
        <x:v>Ne pas tenter de la mettre à jour automatiquement chaque année sans décision éditoriale.</x:v>
      </x:c>
      <x:c r="T22" s="39" t="str"/>
    </x:row>
    <x:row r="23">
      <x:c r="A23" s="39" t="str">
        <x:v>EP_003</x:v>
      </x:c>
      <x:c r="B23" s="39" t="str">
        <x:v>Eau potable</x:v>
      </x:c>
      <x:c r="C23" s="39" t="str">
        <x:v>Qualité</x:v>
      </x:c>
      <x:c r="D23" s="39" t="str">
        <x:v>Conformité microbiologique de l'eau distribuée</x:v>
      </x:c>
      <x:c r="E23" s="39" t="str">
        <x:v>Indicateur réglementaire annuel</x:v>
      </x:c>
      <x:c r="F23" s="39" t="str">
        <x:v>%</x:v>
      </x:c>
      <x:c r="G23" s="39" t="str">
        <x:v>Service / EPCI / Martinique</x:v>
      </x:c>
      <x:c r="H23" s="39" t="str">
        <x:v>4,11</x:v>
      </x:c>
      <x:c r="I23" s="39" t="str">
        <x:v>Martinique 99,3 % ; CACEM 99,4 % ; CAESM 100 % ; CAPNM 98,6 %</x:v>
      </x:c>
      <x:c r="J23" s="39" t="str">
        <x:v>ARS Martinique</x:v>
      </x:c>
      <x:c r="K23" s="39" t="str">
        <x:v>SISPEA ; ARS/DGS en contrôle</x:v>
      </x:c>
      <x:c r="L23" s="39" t="str">
        <x:v>P101.1 ; VP.126/VP.127</x:v>
      </x:c>
      <x:c r="M23" s="39" t="str">
        <x:v>100 × (prélèvements - non conformes) / prélèvements</x:v>
      </x:c>
      <x:c r="N23" s="39" t="str">
        <x:v>Consolider avec nombres d'analyses, jamais moyenne simple des %</x:v>
      </x:c>
      <x:c r="O23" s="39" t="str">
        <x:v>AUTO</x:v>
      </x:c>
      <x:c r="P23" s="39" t="str">
        <x:v>Annuelle</x:v>
      </x:c>
      <x:c r="Q23" s="39" t="str">
        <x:v>Élevée</x:v>
      </x:c>
      <x:c r="R23" s="39" t="str">
        <x:v>fact_qualite</x:v>
      </x:c>
      <x:c r="S23" s="39" t="str"/>
      <x:c r="T23" s="39" t="str">
        <x:v>https://www.services.eaufrance.fr/indicateurs/P101.1</x:v>
      </x:c>
    </x:row>
    <x:row r="24">
      <x:c r="A24" s="39" t="str">
        <x:v>EP_004</x:v>
      </x:c>
      <x:c r="B24" s="39" t="str">
        <x:v>Eau potable</x:v>
      </x:c>
      <x:c r="C24" s="39" t="str">
        <x:v>Qualité</x:v>
      </x:c>
      <x:c r="D24" s="39" t="str">
        <x:v>Conformité physico-chimique de l'eau distribuée</x:v>
      </x:c>
      <x:c r="E24" s="39" t="str">
        <x:v>Indicateur réglementaire annuel</x:v>
      </x:c>
      <x:c r="F24" s="39" t="str">
        <x:v>%</x:v>
      </x:c>
      <x:c r="G24" s="39" t="str">
        <x:v>Service / EPCI / Martinique</x:v>
      </x:c>
      <x:c r="H24" s="39" t="str">
        <x:v>4,11</x:v>
      </x:c>
      <x:c r="I24" s="39" t="str">
        <x:v>Martinique 99,8 % ; CACEM 99,4 % ; CAESM 100 % ; CAPNM 100 %</x:v>
      </x:c>
      <x:c r="J24" s="39" t="str">
        <x:v>ARS Martinique</x:v>
      </x:c>
      <x:c r="K24" s="39" t="str">
        <x:v>SISPEA ; ARS/DGS en contrôle</x:v>
      </x:c>
      <x:c r="L24" s="39" t="str">
        <x:v>P102.1 ; VP.128/VP.129</x:v>
      </x:c>
      <x:c r="M24" s="39" t="str">
        <x:v>100 × (prélèvements - non conformes) / prélèvements</x:v>
      </x:c>
      <x:c r="N24" s="39" t="str">
        <x:v>Consolider avec nombres d'analyses</x:v>
      </x:c>
      <x:c r="O24" s="39" t="str">
        <x:v>AUTO</x:v>
      </x:c>
      <x:c r="P24" s="39" t="str">
        <x:v>Annuelle</x:v>
      </x:c>
      <x:c r="Q24" s="39" t="str">
        <x:v>Élevée</x:v>
      </x:c>
      <x:c r="R24" s="39" t="str">
        <x:v>fact_qualite</x:v>
      </x:c>
      <x:c r="S24" s="39" t="str"/>
      <x:c r="T24" s="39" t="str">
        <x:v>https://www.services.eaufrance.fr/indicateurs/P102.1</x:v>
      </x:c>
    </x:row>
    <x:row r="25">
      <x:c r="A25" s="39" t="str">
        <x:v>EP_005</x:v>
      </x:c>
      <x:c r="B25" s="39" t="str">
        <x:v>Eau potable</x:v>
      </x:c>
      <x:c r="C25" s="39" t="str">
        <x:v>Abonnés</x:v>
      </x:c>
      <x:c r="D25" s="39" t="str">
        <x:v>Nombre d'abonnés au service d'eau potable</x:v>
      </x:c>
      <x:c r="E25" s="39" t="str">
        <x:v>Donnée annuelle</x:v>
      </x:c>
      <x:c r="F25" s="39" t="str">
        <x:v>abonnés</x:v>
      </x:c>
      <x:c r="G25" s="39" t="str">
        <x:v>Service / EPCI / Martinique</x:v>
      </x:c>
      <x:c r="H25" s="39" t="str">
        <x:v>11</x:v>
      </x:c>
      <x:c r="I25" s="39" t="str">
        <x:v>190 066</x:v>
      </x:c>
      <x:c r="J25" s="39" t="str">
        <x:v>RAD ODYSSI, SME ; RPQS CACEM, CAPNM, CAESM</x:v>
      </x:c>
      <x:c r="K25" s="39" t="str">
        <x:v>SISPEA Open Data</x:v>
      </x:c>
      <x:c r="L25" s="39" t="str">
        <x:v>VP.056</x:v>
      </x:c>
      <x:c r="M25" s="39" t="str">
        <x:v>Somme des abonnés sur périmètres sans double-compte</x:v>
      </x:c>
      <x:c r="N25" s="39" t="str">
        <x:v>Somme contrôlée par composition des services</x:v>
      </x:c>
      <x:c r="O25" s="39" t="str">
        <x:v>AUTO</x:v>
      </x:c>
      <x:c r="P25" s="39" t="str">
        <x:v>Annuelle</x:v>
      </x:c>
      <x:c r="Q25" s="39" t="str">
        <x:v>Élevée</x:v>
      </x:c>
      <x:c r="R25" s="39" t="str">
        <x:v>fact_indicateur</x:v>
      </x:c>
      <x:c r="S25" s="39" t="str"/>
      <x:c r="T25" s="39" t="str">
        <x:v>https://www.services.eaufrance.fr/les-variables-de-performance-des-services-d-eau-potable</x:v>
      </x:c>
    </x:row>
    <x:row r="26">
      <x:c r="A26" s="39" t="str">
        <x:v>EP_006</x:v>
      </x:c>
      <x:c r="B26" s="39" t="str">
        <x:v>Eau potable</x:v>
      </x:c>
      <x:c r="C26" s="39" t="str">
        <x:v>Volumes</x:v>
      </x:c>
      <x:c r="D26" s="39" t="str">
        <x:v>Volume d'eau potable facturé</x:v>
      </x:c>
      <x:c r="E26" s="39" t="str">
        <x:v>Donnée annuelle</x:v>
      </x:c>
      <x:c r="F26" s="39" t="str">
        <x:v>m³/an</x:v>
      </x:c>
      <x:c r="G26" s="39" t="str">
        <x:v>Service / EPCI / Martinique</x:v>
      </x:c>
      <x:c r="H26" s="39" t="str">
        <x:v>4,11,12</x:v>
      </x:c>
      <x:c r="I26" s="39" t="str">
        <x:v>21 041 846</x:v>
      </x:c>
      <x:c r="J26" s="39" t="str">
        <x:v>RAD/RPQS</x:v>
      </x:c>
      <x:c r="K26" s="39" t="str">
        <x:v>SISPEA Open Data</x:v>
      </x:c>
      <x:c r="L26" s="39" t="str">
        <x:v>VP.068</x:v>
      </x:c>
      <x:c r="M26" s="39" t="str">
        <x:v>Somme volumes facturés</x:v>
      </x:c>
      <x:c r="N26" s="39" t="str">
        <x:v>Somme des services/distributeurs ; contrôler ventes en gros</x:v>
      </x:c>
      <x:c r="O26" s="39" t="str">
        <x:v>AUTO</x:v>
      </x:c>
      <x:c r="P26" s="39" t="str">
        <x:v>Annuelle</x:v>
      </x:c>
      <x:c r="Q26" s="39" t="str">
        <x:v>Élevée</x:v>
      </x:c>
      <x:c r="R26" s="39" t="str">
        <x:v>fact_volume</x:v>
      </x:c>
      <x:c r="S26" s="39" t="str"/>
      <x:c r="T26" s="39" t="str">
        <x:v>https://www.services.eaufrance.fr/variables/vp.068</x:v>
      </x:c>
    </x:row>
    <x:row r="27">
      <x:c r="A27" s="39" t="str">
        <x:v>EP_007</x:v>
      </x:c>
      <x:c r="B27" s="39" t="str">
        <x:v>Eau potable</x:v>
      </x:c>
      <x:c r="C27" s="39" t="str">
        <x:v>Volumes</x:v>
      </x:c>
      <x:c r="D27" s="39" t="str">
        <x:v>Volume produit</x:v>
      </x:c>
      <x:c r="E27" s="39" t="str">
        <x:v>Donnée annuelle</x:v>
      </x:c>
      <x:c r="F27" s="39" t="str">
        <x:v>m³/an</x:v>
      </x:c>
      <x:c r="G27" s="39" t="str">
        <x:v>Service / Martinique</x:v>
      </x:c>
      <x:c r="H27" s="39" t="str">
        <x:v>12</x:v>
      </x:c>
      <x:c r="I27" s="39" t="str">
        <x:v>41 539 655</x:v>
      </x:c>
      <x:c r="J27" s="39" t="str">
        <x:v>Non explicitée p.12</x:v>
      </x:c>
      <x:c r="K27" s="39" t="str">
        <x:v>SISPEA</x:v>
      </x:c>
      <x:c r="L27" s="39" t="str">
        <x:v>VP.059</x:v>
      </x:c>
      <x:c r="M27" s="39" t="str">
        <x:v>Somme des volumes produits, en évitant doubles comptes entre services</x:v>
      </x:c>
      <x:c r="N27" s="39" t="str">
        <x:v>Somme contrôlée</x:v>
      </x:c>
      <x:c r="O27" s="39" t="str">
        <x:v>AUTO</x:v>
      </x:c>
      <x:c r="P27" s="39" t="str">
        <x:v>Annuelle</x:v>
      </x:c>
      <x:c r="Q27" s="39" t="str">
        <x:v>Élevée</x:v>
      </x:c>
      <x:c r="R27" s="39" t="str">
        <x:v>fact_volume</x:v>
      </x:c>
      <x:c r="S27" s="39" t="str"/>
      <x:c r="T27" s="39" t="str">
        <x:v>https://www.services.eaufrance.fr/variables/vp.059</x:v>
      </x:c>
    </x:row>
    <x:row r="28">
      <x:c r="A28" s="39" t="str">
        <x:v>EP_008</x:v>
      </x:c>
      <x:c r="B28" s="39" t="str">
        <x:v>Eau potable</x:v>
      </x:c>
      <x:c r="C28" s="39" t="str">
        <x:v>Volumes</x:v>
      </x:c>
      <x:c r="D28" s="39" t="str">
        <x:v>Part de l'eau prélevée AEP qui est facturée</x:v>
      </x:c>
      <x:c r="E28" s="39" t="str">
        <x:v>Indicateur dérivé</x:v>
      </x:c>
      <x:c r="F28" s="39" t="str">
        <x:v>%</x:v>
      </x:c>
      <x:c r="G28" s="39" t="str">
        <x:v>Martinique</x:v>
      </x:c>
      <x:c r="H28" s="39" t="str">
        <x:v>12</x:v>
      </x:c>
      <x:c r="I28" s="39" t="str">
        <x:v>47 %</x:v>
      </x:c>
      <x:c r="J28" s="39" t="str">
        <x:v>Calcul ODE</x:v>
      </x:c>
      <x:c r="K28" s="39" t="str">
        <x:v>RES_014 + EP_006</x:v>
      </x:c>
      <x:c r="L28" s="39" t="str">
        <x:v>—</x:v>
      </x:c>
      <x:c r="M28" s="39" t="str">
        <x:v>Volume facturé / volume prélevé AEP × 100</x:v>
      </x:c>
      <x:c r="N28" s="39" t="str">
        <x:v>Ratio de totaux</x:v>
      </x:c>
      <x:c r="O28" s="39" t="str">
        <x:v>AUTO + calcul</x:v>
      </x:c>
      <x:c r="P28" s="39" t="str">
        <x:v>Annuelle</x:v>
      </x:c>
      <x:c r="Q28" s="39" t="str">
        <x:v>Élevée</x:v>
      </x:c>
      <x:c r="R28" s="39" t="str">
        <x:v>fact_indicateur</x:v>
      </x:c>
      <x:c r="S28" s="39" t="str">
        <x:v>Cet indicateur n'est pas le rendement P104.3.</x:v>
      </x:c>
      <x:c r="T28" s="39" t="str"/>
    </x:row>
    <x:row r="29">
      <x:c r="A29" s="39" t="str">
        <x:v>EP_009</x:v>
      </x:c>
      <x:c r="B29" s="39" t="str">
        <x:v>Eau potable</x:v>
      </x:c>
      <x:c r="C29" s="39" t="str">
        <x:v>Volumes</x:v>
      </x:c>
      <x:c r="D29" s="39" t="str">
        <x:v>Pertes entre prélèvement et production</x:v>
      </x:c>
      <x:c r="E29" s="39" t="str">
        <x:v>Indicateur dérivé</x:v>
      </x:c>
      <x:c r="F29" s="39" t="str">
        <x:v>%</x:v>
      </x:c>
      <x:c r="G29" s="39" t="str">
        <x:v>Martinique</x:v>
      </x:c>
      <x:c r="H29" s="39" t="str">
        <x:v>12</x:v>
      </x:c>
      <x:c r="I29" s="39" t="str">
        <x:v>≈ 8 %</x:v>
      </x:c>
      <x:c r="J29" s="39" t="str">
        <x:v>Calcul ODE</x:v>
      </x:c>
      <x:c r="K29" s="39" t="str">
        <x:v>RES_014 + EP_007</x:v>
      </x:c>
      <x:c r="L29" s="39" t="str">
        <x:v>—</x:v>
      </x:c>
      <x:c r="M29" s="39" t="str">
        <x:v>(volume prélevé - volume produit) / volume prélevé ×100</x:v>
      </x:c>
      <x:c r="N29" s="39" t="str">
        <x:v>Ratio de totaux</x:v>
      </x:c>
      <x:c r="O29" s="39" t="str">
        <x:v>AUTO + calcul</x:v>
      </x:c>
      <x:c r="P29" s="39" t="str">
        <x:v>Annuelle</x:v>
      </x:c>
      <x:c r="Q29" s="39" t="str">
        <x:v>Moyenne</x:v>
      </x:c>
      <x:c r="R29" s="39" t="str">
        <x:v>fact_indicateur</x:v>
      </x:c>
      <x:c r="S29" s="39" t="str">
        <x:v>Le libellé du rapport couvre « production, entretien des installations… » ; définition à documenter précisément.</x:v>
      </x:c>
      <x:c r="T29" s="39" t="str"/>
    </x:row>
    <x:row r="30">
      <x:c r="A30" s="39" t="str">
        <x:v>EP_010</x:v>
      </x:c>
      <x:c r="B30" s="39" t="str">
        <x:v>Eau potable</x:v>
      </x:c>
      <x:c r="C30" s="39" t="str">
        <x:v>Volumes</x:v>
      </x:c>
      <x:c r="D30" s="39" t="str">
        <x:v>Pertes réseau et volumes non comptabilisés / non facturés</x:v>
      </x:c>
      <x:c r="E30" s="39" t="str">
        <x:v>Indicateur dérivé</x:v>
      </x:c>
      <x:c r="F30" s="39" t="str">
        <x:v>%</x:v>
      </x:c>
      <x:c r="G30" s="39" t="str">
        <x:v>Martinique</x:v>
      </x:c>
      <x:c r="H30" s="39" t="str">
        <x:v>4,12</x:v>
      </x:c>
      <x:c r="I30" s="39" t="str">
        <x:v>49 %</x:v>
      </x:c>
      <x:c r="J30" s="39" t="str">
        <x:v>Calcul ODE</x:v>
      </x:c>
      <x:c r="K30" s="39" t="str">
        <x:v>SISPEA volumes</x:v>
      </x:c>
      <x:c r="L30" s="39" t="str">
        <x:v>P104.3 / P105.3 / P106.3 à conserver séparément</x:v>
      </x:c>
      <x:c r="M30" s="39" t="str">
        <x:v>À documenter : le rapport compare vraisemblablement production et volume facturé/consommé</x:v>
      </x:c>
      <x:c r="N30" s="39" t="str">
        <x:v>Ratio de totaux</x:v>
      </x:c>
      <x:c r="O30" s="39" t="str">
        <x:v>AUTO + calcul</x:v>
      </x:c>
      <x:c r="P30" s="39" t="str">
        <x:v>Annuelle</x:v>
      </x:c>
      <x:c r="Q30" s="39" t="str">
        <x:v>Moyenne</x:v>
      </x:c>
      <x:c r="R30" s="39" t="str">
        <x:v>fact_indicateur</x:v>
      </x:c>
      <x:c r="S30" s="39" t="str">
        <x:v>Ne pas assimiler automatiquement cette valeur à 100-P104.3.</x:v>
      </x:c>
      <x:c r="T30" s="39" t="str"/>
    </x:row>
    <x:row r="31">
      <x:c r="A31" s="39" t="str">
        <x:v>EP_011</x:v>
      </x:c>
      <x:c r="B31" s="39" t="str">
        <x:v>Eau potable</x:v>
      </x:c>
      <x:c r="C31" s="39" t="str">
        <x:v>Infrastructures</x:v>
      </x:c>
      <x:c r="D31" s="39" t="str">
        <x:v>Nombre d'unités de production d'eau potable</x:v>
      </x:c>
      <x:c r="E31" s="39" t="str">
        <x:v>Donnée de patrimoine</x:v>
      </x:c>
      <x:c r="F31" s="39" t="str">
        <x:v>nb</x:v>
      </x:c>
      <x:c r="G31" s="39" t="str">
        <x:v>Usine / Martinique</x:v>
      </x:c>
      <x:c r="H31" s="39" t="str">
        <x:v>13</x:v>
      </x:c>
      <x:c r="I31" s="39" t="str">
        <x:v>27</x:v>
      </x:c>
      <x:c r="J31" s="39" t="str">
        <x:v>Non explicitée sur la page</x:v>
      </x:c>
      <x:c r="K31" s="39" t="str">
        <x:v>ODE / RPQS / RAD / référentiel local</x:v>
      </x:c>
      <x:c r="L31" s="39" t="str">
        <x:v>—</x:v>
      </x:c>
      <x:c r="M31" s="39" t="str">
        <x:v>Comptage des unités actives</x:v>
      </x:c>
      <x:c r="N31" s="39" t="str">
        <x:v>Somme</x:v>
      </x:c>
      <x:c r="O31" s="39" t="str">
        <x:v>SEMI-AUTO</x:v>
      </x:c>
      <x:c r="P31" s="39" t="str">
        <x:v>Annuelle</x:v>
      </x:c>
      <x:c r="Q31" s="39" t="str">
        <x:v>Moyenne</x:v>
      </x:c>
      <x:c r="R31" s="39" t="str">
        <x:v>dim_ouvrage</x:v>
      </x:c>
      <x:c r="S31" s="39" t="str">
        <x:v>Créer un référentiel stable des usines avec dates de mise en/hors service.</x:v>
      </x:c>
      <x:c r="T31" s="39" t="str"/>
    </x:row>
    <x:row r="32">
      <x:c r="A32" s="39" t="str">
        <x:v>EP_012</x:v>
      </x:c>
      <x:c r="B32" s="39" t="str">
        <x:v>Eau potable</x:v>
      </x:c>
      <x:c r="C32" s="39" t="str">
        <x:v>Infrastructures</x:v>
      </x:c>
      <x:c r="D32" s="39" t="str">
        <x:v>Part de production des 5 principales usines</x:v>
      </x:c>
      <x:c r="E32" s="39" t="str">
        <x:v>Indicateur annuel calculé</x:v>
      </x:c>
      <x:c r="F32" s="39" t="str">
        <x:v>%</x:v>
      </x:c>
      <x:c r="G32" s="39" t="str">
        <x:v>Usine / Martinique</x:v>
      </x:c>
      <x:c r="H32" s="39" t="str">
        <x:v>13</x:v>
      </x:c>
      <x:c r="I32" s="39" t="str">
        <x:v>88 %</x:v>
      </x:c>
      <x:c r="J32" s="39" t="str">
        <x:v>Non explicitée sur la page</x:v>
      </x:c>
      <x:c r="K32" s="39" t="str">
        <x:v>SISPEA/RAD + référentiel usines</x:v>
      </x:c>
      <x:c r="L32" s="39" t="str">
        <x:v>VP.194 potentiellement utile</x:v>
      </x:c>
      <x:c r="M32" s="39" t="str">
        <x:v>Somme production 5 usines / production totale ×100</x:v>
      </x:c>
      <x:c r="N32" s="39" t="str">
        <x:v>Somme par usine</x:v>
      </x:c>
      <x:c r="O32" s="39" t="str">
        <x:v>SEMI-AUTO + calcul</x:v>
      </x:c>
      <x:c r="P32" s="39" t="str">
        <x:v>Annuelle</x:v>
      </x:c>
      <x:c r="Q32" s="39" t="str">
        <x:v>Moyenne</x:v>
      </x:c>
      <x:c r="R32" s="39" t="str">
        <x:v>fact_production_usine</x:v>
      </x:c>
      <x:c r="S32" s="39" t="str">
        <x:v>Le rapport fournit aussi les parts individuelles des 5 usines.</x:v>
      </x:c>
      <x:c r="T32" s="39" t="str">
        <x:v>https://www.services.eaufrance.fr/les-variables-de-performance-des-services-d-eau-potable</x:v>
      </x:c>
    </x:row>
    <x:row r="33">
      <x:c r="A33" s="39" t="str">
        <x:v>EP_013</x:v>
      </x:c>
      <x:c r="B33" s="39" t="str">
        <x:v>Eau potable</x:v>
      </x:c>
      <x:c r="C33" s="39" t="str">
        <x:v>Infrastructures</x:v>
      </x:c>
      <x:c r="D33" s="39" t="str">
        <x:v>Production / part par grande usine (Rivière Blanche, Durand, Directoire, Didier, Vivé)</x:v>
      </x:c>
      <x:c r="E33" s="39" t="str">
        <x:v>Donnée annuelle</x:v>
      </x:c>
      <x:c r="F33" s="39" t="str">
        <x:v>% et m³</x:v>
      </x:c>
      <x:c r="G33" s="39" t="str">
        <x:v>Usine</x:v>
      </x:c>
      <x:c r="H33" s="39" t="str">
        <x:v>13</x:v>
      </x:c>
      <x:c r="I33" s="39" t="str">
        <x:v>24 % ; 21 % ; 13 % ; 13 % ; 17 % en 2022</x:v>
      </x:c>
      <x:c r="J33" s="39" t="str">
        <x:v>Non explicitée sur la page</x:v>
      </x:c>
      <x:c r="K33" s="39" t="str">
        <x:v>RAD / exploitants / SISPEA ouvrage si disponible</x:v>
      </x:c>
      <x:c r="L33" s="39" t="str">
        <x:v>VP.194</x:v>
      </x:c>
      <x:c r="M33" s="39" t="str">
        <x:v>Production usine / production totale</x:v>
      </x:c>
      <x:c r="N33" s="39" t="str">
        <x:v>Somme ou ratio</x:v>
      </x:c>
      <x:c r="O33" s="39" t="str">
        <x:v>SEMI-AUTO</x:v>
      </x:c>
      <x:c r="P33" s="39" t="str">
        <x:v>Annuelle</x:v>
      </x:c>
      <x:c r="Q33" s="39" t="str">
        <x:v>Moyenne</x:v>
      </x:c>
      <x:c r="R33" s="39" t="str">
        <x:v>fact_production_usine</x:v>
      </x:c>
      <x:c r="S33" s="39" t="str">
        <x:v>Conserver la production brute en m³ et calculer la part.</x:v>
      </x:c>
      <x:c r="T33" s="39" t="str">
        <x:v>https://www.services.eaufrance.fr/les-variables-de-performance-des-services-d-eau-potable</x:v>
      </x:c>
    </x:row>
    <x:row r="34">
      <x:c r="A34" s="39" t="str">
        <x:v>EP_014</x:v>
      </x:c>
      <x:c r="B34" s="39" t="str">
        <x:v>Eau potable</x:v>
      </x:c>
      <x:c r="C34" s="39" t="str">
        <x:v>Stockage</x:v>
      </x:c>
      <x:c r="D34" s="39" t="str">
        <x:v>Nombre de réservoirs</x:v>
      </x:c>
      <x:c r="E34" s="39" t="str">
        <x:v>Donnée de patrimoine</x:v>
      </x:c>
      <x:c r="F34" s="39" t="str">
        <x:v>nb</x:v>
      </x:c>
      <x:c r="G34" s="39" t="str">
        <x:v>Réservoir / EPCI / Martinique</x:v>
      </x:c>
      <x:c r="H34" s="39" t="str">
        <x:v>13</x:v>
      </x:c>
      <x:c r="I34" s="39" t="str">
        <x:v>283</x:v>
      </x:c>
      <x:c r="J34" s="39" t="str">
        <x:v>Non explicitée sur la page</x:v>
      </x:c>
      <x:c r="K34" s="39" t="str">
        <x:v>RPQS/RAD + référentiel patrimoine ODE</x:v>
      </x:c>
      <x:c r="L34" s="39" t="str">
        <x:v>—</x:v>
      </x:c>
      <x:c r="M34" s="39" t="str">
        <x:v>Comptage actifs au 31/12</x:v>
      </x:c>
      <x:c r="N34" s="39" t="str">
        <x:v>Somme</x:v>
      </x:c>
      <x:c r="O34" s="39" t="str">
        <x:v>SEMI-AUTO</x:v>
      </x:c>
      <x:c r="P34" s="39" t="str">
        <x:v>Annuelle</x:v>
      </x:c>
      <x:c r="Q34" s="39" t="str">
        <x:v>Moyenne</x:v>
      </x:c>
      <x:c r="R34" s="39" t="str">
        <x:v>dim_ouvrage</x:v>
      </x:c>
      <x:c r="S34" s="39" t="str"/>
      <x:c r="T34" s="39" t="str"/>
    </x:row>
    <x:row r="35">
      <x:c r="A35" s="39" t="str">
        <x:v>EP_015</x:v>
      </x:c>
      <x:c r="B35" s="39" t="str">
        <x:v>Eau potable</x:v>
      </x:c>
      <x:c r="C35" s="39" t="str">
        <x:v>Stockage</x:v>
      </x:c>
      <x:c r="D35" s="39" t="str">
        <x:v>Capacité totale de stockage</x:v>
      </x:c>
      <x:c r="E35" s="39" t="str">
        <x:v>Donnée de patrimoine</x:v>
      </x:c>
      <x:c r="F35" s="39" t="str">
        <x:v>m³</x:v>
      </x:c>
      <x:c r="G35" s="39" t="str">
        <x:v>Réservoir / Martinique</x:v>
      </x:c>
      <x:c r="H35" s="39" t="str">
        <x:v>13</x:v>
      </x:c>
      <x:c r="I35" s="39" t="str">
        <x:v>179 678</x:v>
      </x:c>
      <x:c r="J35" s="39" t="str">
        <x:v>Non explicitée sur la page</x:v>
      </x:c>
      <x:c r="K35" s="39" t="str">
        <x:v>RPQS/RAD + référentiel patrimoine ODE</x:v>
      </x:c>
      <x:c r="L35" s="39" t="str">
        <x:v>—</x:v>
      </x:c>
      <x:c r="M35" s="39" t="str">
        <x:v>Somme capacités utiles selon définition choisie</x:v>
      </x:c>
      <x:c r="N35" s="39" t="str">
        <x:v>Somme</x:v>
      </x:c>
      <x:c r="O35" s="39" t="str">
        <x:v>SEMI-AUTO</x:v>
      </x:c>
      <x:c r="P35" s="39" t="str">
        <x:v>Annuelle</x:v>
      </x:c>
      <x:c r="Q35" s="39" t="str">
        <x:v>Moyenne</x:v>
      </x:c>
      <x:c r="R35" s="39" t="str">
        <x:v>fact_ouvrage</x:v>
      </x:c>
      <x:c r="S35" s="39" t="str"/>
      <x:c r="T35" s="39" t="str"/>
    </x:row>
    <x:row r="36">
      <x:c r="A36" s="39" t="str">
        <x:v>EP_016</x:v>
      </x:c>
      <x:c r="B36" s="39" t="str">
        <x:v>Eau potable</x:v>
      </x:c>
      <x:c r="C36" s="39" t="str">
        <x:v>Stockage</x:v>
      </x:c>
      <x:c r="D36" s="39" t="str">
        <x:v>Autonomie de stockage selon les zones</x:v>
      </x:c>
      <x:c r="E36" s="39" t="str">
        <x:v>Donnée contextuelle / calculée</x:v>
      </x:c>
      <x:c r="F36" s="39" t="str">
        <x:v>heures à jours</x:v>
      </x:c>
      <x:c r="G36" s="39" t="str">
        <x:v>Zone</x:v>
      </x:c>
      <x:c r="H36" s="39" t="str">
        <x:v>13</x:v>
      </x:c>
      <x:c r="I36" s="39" t="str">
        <x:v>6 h à 5 j</x:v>
      </x:c>
      <x:c r="J36" s="39" t="str">
        <x:v>Non explicitée sur la page</x:v>
      </x:c>
      <x:c r="K36" s="39" t="str">
        <x:v>Modèle ODE + stockage + demande</x:v>
      </x:c>
      <x:c r="L36" s="39" t="str">
        <x:v>—</x:v>
      </x:c>
      <x:c r="M36" s="39" t="str">
        <x:v>Capacité disponible / demande de référence</x:v>
      </x:c>
      <x:c r="N36" s="39" t="str">
        <x:v>Pas d'agrégation simple</x:v>
      </x:c>
      <x:c r="O36" s="39" t="str">
        <x:v>MANUEL / CALCUL</x:v>
      </x:c>
      <x:c r="P36" s="39" t="str">
        <x:v>Annuelle ou à la demande</x:v>
      </x:c>
      <x:c r="Q36" s="39" t="str">
        <x:v>Faible</x:v>
      </x:c>
      <x:c r="R36" s="39" t="str">
        <x:v>fact_indicateur</x:v>
      </x:c>
      <x:c r="S36" s="39" t="str">
        <x:v>Définir le niveau de consommation et le scénario utilisés pour l'autonomie.</x:v>
      </x:c>
      <x:c r="T36" s="39" t="str"/>
    </x:row>
    <x:row r="37">
      <x:c r="A37" s="39" t="str">
        <x:v>EP_017</x:v>
      </x:c>
      <x:c r="B37" s="39" t="str">
        <x:v>Eau potable</x:v>
      </x:c>
      <x:c r="C37" s="39" t="str">
        <x:v>Réseau</x:v>
      </x:c>
      <x:c r="D37" s="39" t="str">
        <x:v>Linéaire de réseau d'eau potable</x:v>
      </x:c>
      <x:c r="E37" s="39" t="str">
        <x:v>Donnée annuelle/patrimoine</x:v>
      </x:c>
      <x:c r="F37" s="39" t="str">
        <x:v>km</x:v>
      </x:c>
      <x:c r="G37" s="39" t="str">
        <x:v>Service / EPCI / Martinique</x:v>
      </x:c>
      <x:c r="H37" s="39" t="str">
        <x:v>13</x:v>
      </x:c>
      <x:c r="I37" s="39" t="str">
        <x:v>3 867 km ; CAESM 1 656 ; CACEM 1 004 ; CAPNM 1 207</x:v>
      </x:c>
      <x:c r="J37" s="39" t="str">
        <x:v>Non explicitée sur la page</x:v>
      </x:c>
      <x:c r="K37" s="39" t="str">
        <x:v>SISPEA</x:v>
      </x:c>
      <x:c r="L37" s="39" t="str">
        <x:v>VP.077</x:v>
      </x:c>
      <x:c r="M37" s="39" t="str">
        <x:v>Somme linéaires hors branchements</x:v>
      </x:c>
      <x:c r="N37" s="39" t="str">
        <x:v>Somme avec contrôle des services de transfert/distribution</x:v>
      </x:c>
      <x:c r="O37" s="39" t="str">
        <x:v>AUTO</x:v>
      </x:c>
      <x:c r="P37" s="39" t="str">
        <x:v>Annuelle</x:v>
      </x:c>
      <x:c r="Q37" s="39" t="str">
        <x:v>Élevée</x:v>
      </x:c>
      <x:c r="R37" s="39" t="str">
        <x:v>fact_reseau</x:v>
      </x:c>
      <x:c r="S37" s="39" t="str"/>
      <x:c r="T37" s="39" t="str">
        <x:v>https://www.services.eaufrance.fr/variables/vp.077</x:v>
      </x:c>
    </x:row>
    <x:row r="38">
      <x:c r="A38" s="39" t="str">
        <x:v>EP_018</x:v>
      </x:c>
      <x:c r="B38" s="39" t="str">
        <x:v>Eau potable</x:v>
      </x:c>
      <x:c r="C38" s="39" t="str">
        <x:v>Réseau</x:v>
      </x:c>
      <x:c r="D38" s="39" t="str">
        <x:v>Composition du réseau par matériau</x:v>
      </x:c>
      <x:c r="E38" s="39" t="str">
        <x:v>Donnée de patrimoine</x:v>
      </x:c>
      <x:c r="F38" s="39" t="str">
        <x:v>%</x:v>
      </x:c>
      <x:c r="G38" s="39" t="str">
        <x:v>Martinique / tronçon</x:v>
      </x:c>
      <x:c r="H38" s="39" t="str">
        <x:v>13</x:v>
      </x:c>
      <x:c r="I38" s="39" t="str">
        <x:v>PVC 60 % ; fonte 33 % ; PEHD 7 %</x:v>
      </x:c>
      <x:c r="J38" s="39" t="str">
        <x:v>Non explicitée sur la page</x:v>
      </x:c>
      <x:c r="K38" s="39" t="str">
        <x:v>SIG patrimonial / RPQS-RAD</x:v>
      </x:c>
      <x:c r="L38" s="39" t="str">
        <x:v>—</x:v>
      </x:c>
      <x:c r="M38" s="39" t="str">
        <x:v>Linéaire par matériau / linéaire total</x:v>
      </x:c>
      <x:c r="N38" s="39" t="str">
        <x:v>Pondération par linéaire</x:v>
      </x:c>
      <x:c r="O38" s="39" t="str">
        <x:v>SEMI-AUTO</x:v>
      </x:c>
      <x:c r="P38" s="39" t="str">
        <x:v>Annuelle</x:v>
      </x:c>
      <x:c r="Q38" s="39" t="str">
        <x:v>Moyenne</x:v>
      </x:c>
      <x:c r="R38" s="39" t="str">
        <x:v>fact_reseau_materiau</x:v>
      </x:c>
      <x:c r="S38" s="39" t="str">
        <x:v>SISPEA renseigne la connaissance des matériaux, pas leur répartition exhaustive.</x:v>
      </x:c>
      <x:c r="T38" s="39" t="str"/>
    </x:row>
    <x:row r="39">
      <x:c r="A39" s="39" t="str">
        <x:v>EP_019</x:v>
      </x:c>
      <x:c r="B39" s="39" t="str">
        <x:v>Eau potable</x:v>
      </x:c>
      <x:c r="C39" s="39" t="str">
        <x:v>Performance réseau</x:v>
      </x:c>
      <x:c r="D39" s="39" t="str">
        <x:v>Rendement hydraulique</x:v>
      </x:c>
      <x:c r="E39" s="39" t="str">
        <x:v>Indicateur réglementaire annuel</x:v>
      </x:c>
      <x:c r="F39" s="39" t="str">
        <x:v>%</x:v>
      </x:c>
      <x:c r="G39" s="39" t="str">
        <x:v>Service / EPCI / Martinique</x:v>
      </x:c>
      <x:c r="H39" s="39" t="str">
        <x:v>14</x:v>
      </x:c>
      <x:c r="I39" s="39" t="str">
        <x:v>CAESM 81,8 % (+ Robert et Trinité) ; CACEM 64,5 % ; CAPNM 52,4 % ; national 83,3 %</x:v>
      </x:c>
      <x:c r="J39" s="39" t="str">
        <x:v>EauFrance P104.3</x:v>
      </x:c>
      <x:c r="K39" s="39" t="str">
        <x:v>SISPEA</x:v>
      </x:c>
      <x:c r="L39" s="39" t="str">
        <x:v>P104.3</x:v>
      </x:c>
      <x:c r="M39" s="39" t="str">
        <x:v>Selon fiche SISPEA : volumes consommés autorisés + exports / volumes produits + imports</x:v>
      </x:c>
      <x:c r="N39" s="39" t="str">
        <x:v>Consolidation avec variables de volume, jamais moyenne simple</x:v>
      </x:c>
      <x:c r="O39" s="39" t="str">
        <x:v>AUTO</x:v>
      </x:c>
      <x:c r="P39" s="39" t="str">
        <x:v>Annuelle</x:v>
      </x:c>
      <x:c r="Q39" s="39" t="str">
        <x:v>Élevée</x:v>
      </x:c>
      <x:c r="R39" s="39" t="str">
        <x:v>fact_indicateur</x:v>
      </x:c>
      <x:c r="S39" s="39" t="str"/>
      <x:c r="T39" s="39" t="str">
        <x:v>https://www.services.eaufrance.fr/indicateurs/P104.3</x:v>
      </x:c>
    </x:row>
    <x:row r="40">
      <x:c r="A40" s="39" t="str">
        <x:v>EP_020</x:v>
      </x:c>
      <x:c r="B40" s="39" t="str">
        <x:v>Eau potable</x:v>
      </x:c>
      <x:c r="C40" s="39" t="str">
        <x:v>Performance réseau</x:v>
      </x:c>
      <x:c r="D40" s="39" t="str">
        <x:v>Indice linéaire de pertes</x:v>
      </x:c>
      <x:c r="E40" s="39" t="str">
        <x:v>Indicateur réglementaire annuel</x:v>
      </x:c>
      <x:c r="F40" s="39" t="str">
        <x:v>m³/km/j</x:v>
      </x:c>
      <x:c r="G40" s="39" t="str">
        <x:v>Service / EPCI / Martinique</x:v>
      </x:c>
      <x:c r="H40" s="39" t="str">
        <x:v>14</x:v>
      </x:c>
      <x:c r="I40" s="39" t="str">
        <x:v>CAESM 6,54 ; CACEM 21 ; CAPNM 10,2 ; national 2,1</x:v>
      </x:c>
      <x:c r="J40" s="39" t="str">
        <x:v>EauFrance P106.3</x:v>
      </x:c>
      <x:c r="K40" s="39" t="str">
        <x:v>SISPEA</x:v>
      </x:c>
      <x:c r="L40" s="39" t="str">
        <x:v>P106.3</x:v>
      </x:c>
      <x:c r="M40" s="39" t="str">
        <x:v>Pertes par fuite / linéaire / jours</x:v>
      </x:c>
      <x:c r="N40" s="39" t="str">
        <x:v>Consolidation pondérée par linéaire</x:v>
      </x:c>
      <x:c r="O40" s="39" t="str">
        <x:v>AUTO</x:v>
      </x:c>
      <x:c r="P40" s="39" t="str">
        <x:v>Annuelle</x:v>
      </x:c>
      <x:c r="Q40" s="39" t="str">
        <x:v>Élevée</x:v>
      </x:c>
      <x:c r="R40" s="39" t="str">
        <x:v>fact_indicateur</x:v>
      </x:c>
      <x:c r="S40" s="39" t="str"/>
      <x:c r="T40" s="39" t="str">
        <x:v>https://services.eaufrance.fr/indicateurs/P106.3</x:v>
      </x:c>
    </x:row>
    <x:row r="41">
      <x:c r="A41" s="39" t="str">
        <x:v>EP_021</x:v>
      </x:c>
      <x:c r="B41" s="39" t="str">
        <x:v>Eau potable</x:v>
      </x:c>
      <x:c r="C41" s="39" t="str">
        <x:v>Performance réseau</x:v>
      </x:c>
      <x:c r="D41" s="39" t="str">
        <x:v>Taux moyen de renouvellement des réseaux</x:v>
      </x:c>
      <x:c r="E41" s="39" t="str">
        <x:v>Indicateur réglementaire annuel</x:v>
      </x:c>
      <x:c r="F41" s="39" t="str">
        <x:v>%</x:v>
      </x:c>
      <x:c r="G41" s="39" t="str">
        <x:v>Service / EPCI / Martinique</x:v>
      </x:c>
      <x:c r="H41" s="39" t="str">
        <x:v>15</x:v>
      </x:c>
      <x:c r="I41" s="39" t="str">
        <x:v>CAESM 0,18 % ; CACEM 0,19 % ; CAPNM 0,28 % ; national 0,87 % ; texte Martinique 0,22 %</x:v>
      </x:c>
      <x:c r="J41" s="39" t="str">
        <x:v>EauFrance P107.2</x:v>
      </x:c>
      <x:c r="K41" s="39" t="str">
        <x:v>SISPEA</x:v>
      </x:c>
      <x:c r="L41" s="39" t="str">
        <x:v>P107.2</x:v>
      </x:c>
      <x:c r="M41" s="39" t="str">
        <x:v>Linéaire renouvelé cumulé N-4 à N / 5 / linéaire N ×100</x:v>
      </x:c>
      <x:c r="N41" s="39" t="str">
        <x:v>Consolidation selon fiche indicateur</x:v>
      </x:c>
      <x:c r="O41" s="39" t="str">
        <x:v>AUTO</x:v>
      </x:c>
      <x:c r="P41" s="39" t="str">
        <x:v>Annuelle</x:v>
      </x:c>
      <x:c r="Q41" s="39" t="str">
        <x:v>Élevée</x:v>
      </x:c>
      <x:c r="R41" s="39" t="str">
        <x:v>fact_indicateur</x:v>
      </x:c>
      <x:c r="S41" s="39" t="str">
        <x:v>Le texte p.15 mentionne 3 578 km, en contradiction avec 3 867 km p.13 : à traiter comme anomalie de référence.</x:v>
      </x:c>
      <x:c r="T41" s="39" t="str">
        <x:v>https://www.services.eaufrance.fr/indicateurs/P107.2</x:v>
      </x:c>
    </x:row>
    <x:row r="42">
      <x:c r="A42" s="39" t="str">
        <x:v>AC_001</x:v>
      </x:c>
      <x:c r="B42" s="39" t="str">
        <x:v>Assainissement collectif</x:v>
      </x:c>
      <x:c r="C42" s="39" t="str">
        <x:v>Réseau</x:v>
      </x:c>
      <x:c r="D42" s="39" t="str">
        <x:v>Linéaire de réseau d'assainissement collectif</x:v>
      </x:c>
      <x:c r="E42" s="39" t="str">
        <x:v>Donnée annuelle/patrimoine</x:v>
      </x:c>
      <x:c r="F42" s="39" t="str">
        <x:v>km</x:v>
      </x:c>
      <x:c r="G42" s="39" t="str">
        <x:v>Service / EPCI / Martinique</x:v>
      </x:c>
      <x:c r="H42" s="39" t="str">
        <x:v>18</x:v>
      </x:c>
      <x:c r="I42" s="39" t="str">
        <x:v>901 km ; CAESM 304 ; CACEM 345 ; CAPNM 252</x:v>
      </x:c>
      <x:c r="J42" s="39" t="str">
        <x:v>Non explicitée sur la page</x:v>
      </x:c>
      <x:c r="K42" s="39" t="str">
        <x:v>SISPEA</x:v>
      </x:c>
      <x:c r="L42" s="39" t="str">
        <x:v>VP.077 ; VP.199 ; VP.200</x:v>
      </x:c>
      <x:c r="M42" s="39" t="str">
        <x:v>Somme linéaires hors branchements</x:v>
      </x:c>
      <x:c r="N42" s="39" t="str">
        <x:v>Somme</x:v>
      </x:c>
      <x:c r="O42" s="39" t="str">
        <x:v>AUTO</x:v>
      </x:c>
      <x:c r="P42" s="39" t="str">
        <x:v>Annuelle</x:v>
      </x:c>
      <x:c r="Q42" s="39" t="str">
        <x:v>Élevée</x:v>
      </x:c>
      <x:c r="R42" s="39" t="str">
        <x:v>fact_reseau</x:v>
      </x:c>
      <x:c r="S42" s="39" t="str"/>
      <x:c r="T42" s="39" t="str">
        <x:v>https://www.services.eaufrance.fr/liste-des-variables-de-performances-des-services-d-assainissement-collectif</x:v>
      </x:c>
    </x:row>
    <x:row r="43">
      <x:c r="A43" s="39" t="str">
        <x:v>AC_002</x:v>
      </x:c>
      <x:c r="B43" s="39" t="str">
        <x:v>Assainissement collectif</x:v>
      </x:c>
      <x:c r="C43" s="39" t="str">
        <x:v>Réseau</x:v>
      </x:c>
      <x:c r="D43" s="39" t="str">
        <x:v>Nombre de postes de refoulement</x:v>
      </x:c>
      <x:c r="E43" s="39" t="str">
        <x:v>Donnée de patrimoine</x:v>
      </x:c>
      <x:c r="F43" s="39" t="str">
        <x:v>nb</x:v>
      </x:c>
      <x:c r="G43" s="39" t="str">
        <x:v>Ouvrage / EPCI / Martinique</x:v>
      </x:c>
      <x:c r="H43" s="39" t="str">
        <x:v>18</x:v>
      </x:c>
      <x:c r="I43" s="39" t="str">
        <x:v>312 ; CAESM 117 ; CACEM 82 ; CAPNM 113</x:v>
      </x:c>
      <x:c r="J43" s="39" t="str">
        <x:v>Non explicitée sur la page</x:v>
      </x:c>
      <x:c r="K43" s="39" t="str">
        <x:v>RPQS/RAD + inventaire patrimonial</x:v>
      </x:c>
      <x:c r="L43" s="39" t="str">
        <x:v>—</x:v>
      </x:c>
      <x:c r="M43" s="39" t="str">
        <x:v>Comptage ouvrages actifs</x:v>
      </x:c>
      <x:c r="N43" s="39" t="str">
        <x:v>Somme</x:v>
      </x:c>
      <x:c r="O43" s="39" t="str">
        <x:v>SEMI-AUTO</x:v>
      </x:c>
      <x:c r="P43" s="39" t="str">
        <x:v>Annuelle</x:v>
      </x:c>
      <x:c r="Q43" s="39" t="str">
        <x:v>Moyenne</x:v>
      </x:c>
      <x:c r="R43" s="39" t="str">
        <x:v>dim_ouvrage</x:v>
      </x:c>
      <x:c r="S43" s="39" t="str"/>
      <x:c r="T43" s="39" t="str"/>
    </x:row>
    <x:row r="44">
      <x:c r="A44" s="39" t="str">
        <x:v>AC_003</x:v>
      </x:c>
      <x:c r="B44" s="39" t="str">
        <x:v>Assainissement collectif</x:v>
      </x:c>
      <x:c r="C44" s="39" t="str">
        <x:v>STEU</x:v>
      </x:c>
      <x:c r="D44" s="39" t="str">
        <x:v>Nombre de STEU publiques</x:v>
      </x:c>
      <x:c r="E44" s="39" t="str">
        <x:v>Donnée de patrimoine</x:v>
      </x:c>
      <x:c r="F44" s="39" t="str">
        <x:v>nb</x:v>
      </x:c>
      <x:c r="G44" s="39" t="str">
        <x:v>STEU / Martinique</x:v>
      </x:c>
      <x:c r="H44" s="39" t="str">
        <x:v>4</x:v>
      </x:c>
      <x:c r="I44" s="39" t="str">
        <x:v>103 toutes tailles</x:v>
      </x:c>
      <x:c r="J44" s="39" t="str">
        <x:v>RAD/RPQS/DEAL/ODE</x:v>
      </x:c>
      <x:c r="K44" s="39" t="str">
        <x:v>Portail national assainissement + ODE</x:v>
      </x:c>
      <x:c r="L44" s="39" t="str">
        <x:v>—</x:v>
      </x:c>
      <x:c r="M44" s="39" t="str">
        <x:v>Comptage des stations publiques actives</x:v>
      </x:c>
      <x:c r="N44" s="39" t="str">
        <x:v>Somme</x:v>
      </x:c>
      <x:c r="O44" s="39" t="str">
        <x:v>AUTO/SEMI-AUTO</x:v>
      </x:c>
      <x:c r="P44" s="39" t="str">
        <x:v>Annuelle</x:v>
      </x:c>
      <x:c r="Q44" s="39" t="str">
        <x:v>Moyenne</x:v>
      </x:c>
      <x:c r="R44" s="39" t="str">
        <x:v>dim_steu</x:v>
      </x:c>
      <x:c r="S44" s="39" t="str">
        <x:v>Le portail avertit que les données &lt; 2 000 EH sont moins fiables ; contrôle local requis.</x:v>
      </x:c>
      <x:c r="T44" s="39" t="str">
        <x:v>https://assainissement.developpement-durable.gouv.fr/pages/data/basededonneesteu.php</x:v>
      </x:c>
    </x:row>
    <x:row r="45">
      <x:c r="A45" s="39" t="str">
        <x:v>AC_004</x:v>
      </x:c>
      <x:c r="B45" s="39" t="str">
        <x:v>Assainissement collectif</x:v>
      </x:c>
      <x:c r="C45" s="39" t="str">
        <x:v>STEU</x:v>
      </x:c>
      <x:c r="D45" s="39" t="str">
        <x:v>Nombre de STEU publiques de plus de 200 EH</x:v>
      </x:c>
      <x:c r="E45" s="39" t="str">
        <x:v>Donnée de patrimoine</x:v>
      </x:c>
      <x:c r="F45" s="39" t="str">
        <x:v>nb</x:v>
      </x:c>
      <x:c r="G45" s="39" t="str">
        <x:v>STEU / EPCI / Martinique</x:v>
      </x:c>
      <x:c r="H45" s="39" t="str">
        <x:v>4,19</x:v>
      </x:c>
      <x:c r="I45" s="39" t="str">
        <x:v>68 ; CAESM 28 ; CACEM 15 ; CAPNM 25</x:v>
      </x:c>
      <x:c r="J45" s="39" t="str">
        <x:v>RAD/RPQS/DEAL/ODE</x:v>
      </x:c>
      <x:c r="K45" s="39" t="str">
        <x:v>Portail national assainissement + ODE</x:v>
      </x:c>
      <x:c r="L45" s="39" t="str">
        <x:v>—</x:v>
      </x:c>
      <x:c r="M45" s="39" t="str">
        <x:v>Comptage stations capacité &gt;200 EH selon seuil du rapport</x:v>
      </x:c>
      <x:c r="N45" s="39" t="str">
        <x:v>Somme</x:v>
      </x:c>
      <x:c r="O45" s="39" t="str">
        <x:v>AUTO/SEMI-AUTO</x:v>
      </x:c>
      <x:c r="P45" s="39" t="str">
        <x:v>Annuelle</x:v>
      </x:c>
      <x:c r="Q45" s="39" t="str">
        <x:v>Élevée</x:v>
      </x:c>
      <x:c r="R45" s="39" t="str">
        <x:v>dim_steu</x:v>
      </x:c>
      <x:c r="S45" s="39" t="str">
        <x:v>Seuil 200 EH propre au rapport ; le portail national emploie aussi d'autres seuils réglementaires.</x:v>
      </x:c>
      <x:c r="T45" s="39" t="str">
        <x:v>https://assainissement.developpement-durable.gouv.fr/pages/data/basededonneesteu.php</x:v>
      </x:c>
    </x:row>
    <x:row r="46">
      <x:c r="A46" s="39" t="str">
        <x:v>AC_005</x:v>
      </x:c>
      <x:c r="B46" s="39" t="str">
        <x:v>Assainissement collectif</x:v>
      </x:c>
      <x:c r="C46" s="39" t="str">
        <x:v>STEU</x:v>
      </x:c>
      <x:c r="D46" s="39" t="str">
        <x:v>Capacité nominale cumulée des STEU publiques &gt; 200 EH</x:v>
      </x:c>
      <x:c r="E46" s="39" t="str">
        <x:v>Donnée annuelle/patrimoine</x:v>
      </x:c>
      <x:c r="F46" s="39" t="str">
        <x:v>EH</x:v>
      </x:c>
      <x:c r="G46" s="39" t="str">
        <x:v>STEU / EPCI / Martinique</x:v>
      </x:c>
      <x:c r="H46" s="39" t="str">
        <x:v>19</x:v>
      </x:c>
      <x:c r="I46" s="39" t="str">
        <x:v>351 866 EH ; CAESM 101 921 ; CACEM 180 835 ; CAPNM 68 060</x:v>
      </x:c>
      <x:c r="J46" s="39" t="str">
        <x:v>RAD/RPQS/DEAL/ODE</x:v>
      </x:c>
      <x:c r="K46" s="39" t="str">
        <x:v>Portail national assainissement</x:v>
      </x:c>
      <x:c r="L46" s="39" t="str">
        <x:v>—</x:v>
      </x:c>
      <x:c r="M46" s="39" t="str">
        <x:v>Somme capacité nominale des stations retenues</x:v>
      </x:c>
      <x:c r="N46" s="39" t="str">
        <x:v>Somme</x:v>
      </x:c>
      <x:c r="O46" s="39" t="str">
        <x:v>AUTO</x:v>
      </x:c>
      <x:c r="P46" s="39" t="str">
        <x:v>Annuelle</x:v>
      </x:c>
      <x:c r="Q46" s="39" t="str">
        <x:v>Élevée</x:v>
      </x:c>
      <x:c r="R46" s="39" t="str">
        <x:v>fact_steu</x:v>
      </x:c>
      <x:c r="S46" s="39" t="str">
        <x:v>Le résumé p.4 indique 347 911 EH : incohérence interne à investiguer.</x:v>
      </x:c>
      <x:c r="T46" s="39" t="str">
        <x:v>https://assainissement.developpement-durable.gouv.fr/pages/data/basededonneesteu.php</x:v>
      </x:c>
    </x:row>
    <x:row r="47">
      <x:c r="A47" s="39" t="str">
        <x:v>AC_006</x:v>
      </x:c>
      <x:c r="B47" s="39" t="str">
        <x:v>Assainissement collectif</x:v>
      </x:c>
      <x:c r="C47" s="39" t="str">
        <x:v>STEU</x:v>
      </x:c>
      <x:c r="D47" s="39" t="str">
        <x:v>Part de capacité des 4 plus grosses STEU</x:v>
      </x:c>
      <x:c r="E47" s="39" t="str">
        <x:v>Indicateur dérivé</x:v>
      </x:c>
      <x:c r="F47" s="39" t="str">
        <x:v>% / EH</x:v>
      </x:c>
      <x:c r="G47" s="39" t="str">
        <x:v>STEU / Martinique</x:v>
      </x:c>
      <x:c r="H47" s="39" t="str">
        <x:v>20</x:v>
      </x:c>
      <x:c r="I47" s="39" t="str">
        <x:v>43 % ; 153 943 EH</x:v>
      </x:c>
      <x:c r="J47" s="39" t="str">
        <x:v>Calcul ODE</x:v>
      </x:c>
      <x:c r="K47" s="39" t="str">
        <x:v>Portail national assainissement</x:v>
      </x:c>
      <x:c r="L47" s="39" t="str">
        <x:v>—</x:v>
      </x:c>
      <x:c r="M47" s="39" t="str">
        <x:v>Somme capacités des 4 plus grandes / capacité totale retenue</x:v>
      </x:c>
      <x:c r="N47" s="39" t="str">
        <x:v>Tri puis somme</x:v>
      </x:c>
      <x:c r="O47" s="39" t="str">
        <x:v>AUTO + calcul</x:v>
      </x:c>
      <x:c r="P47" s="39" t="str">
        <x:v>Annuelle</x:v>
      </x:c>
      <x:c r="Q47" s="39" t="str">
        <x:v>Élevée</x:v>
      </x:c>
      <x:c r="R47" s="39" t="str">
        <x:v>fact_indicateur</x:v>
      </x:c>
      <x:c r="S47" s="39" t="str"/>
      <x:c r="T47" s="39" t="str">
        <x:v>https://assainissement.developpement-durable.gouv.fr/pages/data/basededonneesteu.php</x:v>
      </x:c>
    </x:row>
    <x:row r="48">
      <x:c r="A48" s="39" t="str">
        <x:v>AC_007</x:v>
      </x:c>
      <x:c r="B48" s="39" t="str">
        <x:v>Assainissement collectif</x:v>
      </x:c>
      <x:c r="C48" s="39" t="str">
        <x:v>STEU</x:v>
      </x:c>
      <x:c r="D48" s="39" t="str">
        <x:v>Part de capacité des 42 plus petites STEU</x:v>
      </x:c>
      <x:c r="E48" s="39" t="str">
        <x:v>Indicateur dérivé</x:v>
      </x:c>
      <x:c r="F48" s="39" t="str">
        <x:v>% / EH</x:v>
      </x:c>
      <x:c r="G48" s="39" t="str">
        <x:v>STEU / Martinique</x:v>
      </x:c>
      <x:c r="H48" s="39" t="str">
        <x:v>20</x:v>
      </x:c>
      <x:c r="I48" s="39" t="str">
        <x:v>9 % ; 32 221 EH</x:v>
      </x:c>
      <x:c r="J48" s="39" t="str">
        <x:v>Calcul ODE</x:v>
      </x:c>
      <x:c r="K48" s="39" t="str">
        <x:v>Portail national assainissement</x:v>
      </x:c>
      <x:c r="L48" s="39" t="str">
        <x:v>—</x:v>
      </x:c>
      <x:c r="M48" s="39" t="str">
        <x:v>Somme capacités des 42 plus petites / capacité totale</x:v>
      </x:c>
      <x:c r="N48" s="39" t="str">
        <x:v>Tri puis somme</x:v>
      </x:c>
      <x:c r="O48" s="39" t="str">
        <x:v>AUTO + calcul</x:v>
      </x:c>
      <x:c r="P48" s="39" t="str">
        <x:v>Annuelle</x:v>
      </x:c>
      <x:c r="Q48" s="39" t="str">
        <x:v>Élevée</x:v>
      </x:c>
      <x:c r="R48" s="39" t="str">
        <x:v>fact_indicateur</x:v>
      </x:c>
      <x:c r="S48" s="39" t="str"/>
      <x:c r="T48" s="39" t="str">
        <x:v>https://assainissement.developpement-durable.gouv.fr/pages/data/basededonneesteu.php</x:v>
      </x:c>
    </x:row>
    <x:row r="49">
      <x:c r="A49" s="39" t="str">
        <x:v>AC_008</x:v>
      </x:c>
      <x:c r="B49" s="39" t="str">
        <x:v>Assainissement collectif</x:v>
      </x:c>
      <x:c r="C49" s="39" t="str">
        <x:v>Conformité STEU</x:v>
      </x:c>
      <x:c r="D49" s="39" t="str">
        <x:v>Part de capacité EH conforme / non conforme</x:v>
      </x:c>
      <x:c r="E49" s="39" t="str">
        <x:v>Indicateur annuel calculé</x:v>
      </x:c>
      <x:c r="F49" s="39" t="str">
        <x:v>%</x:v>
      </x:c>
      <x:c r="G49" s="39" t="str">
        <x:v>STEU / EPCI / Martinique</x:v>
      </x:c>
      <x:c r="H49" s="39" t="str">
        <x:v>20</x:v>
      </x:c>
      <x:c r="I49" s="39" t="str">
        <x:v>EH conformes : Martinique 21 % ; CACEM 19 % ; CAESM 21 % ; CAPNM 24 %</x:v>
      </x:c>
      <x:c r="J49" s="39" t="str">
        <x:v>Arrêtés préfectoraux / national 21-07-2015</x:v>
      </x:c>
      <x:c r="K49" s="39" t="str">
        <x:v>Portail national assainissement</x:v>
      </x:c>
      <x:c r="L49" s="39" t="str">
        <x:v>P203.3/P204.3/P205.3 historiques, mais ne reproduisent pas directement ce graphique</x:v>
      </x:c>
      <x:c r="M49" s="39" t="str">
        <x:v>Somme capacité des stations conformes selon règle ODE / capacité totale</x:v>
      </x:c>
      <x:c r="N49" s="39" t="str">
        <x:v>Pondération par capacité EH</x:v>
      </x:c>
      <x:c r="O49" s="39" t="str">
        <x:v>AUTO + calcul</x:v>
      </x:c>
      <x:c r="P49" s="39" t="str">
        <x:v>Annuelle</x:v>
      </x:c>
      <x:c r="Q49" s="39" t="str">
        <x:v>Moyenne</x:v>
      </x:c>
      <x:c r="R49" s="39" t="str">
        <x:v>fact_steu</x:v>
      </x:c>
      <x:c r="S49" s="39" t="str">
        <x:v>Définir exactement le statut « conforme » utilisé : conformité globale ERU ou règle locale du rapport.</x:v>
      </x:c>
      <x:c r="T49" s="39" t="str">
        <x:v>https://assainissement.developpement-durable.gouv.fr/pages/data/basededonneesteu.php</x:v>
      </x:c>
    </x:row>
    <x:row r="50">
      <x:c r="A50" s="39" t="str">
        <x:v>AC_009</x:v>
      </x:c>
      <x:c r="B50" s="39" t="str">
        <x:v>Assainissement collectif</x:v>
      </x:c>
      <x:c r="C50" s="39" t="str">
        <x:v>Conformité STEU</x:v>
      </x:c>
      <x:c r="D50" s="39" t="str">
        <x:v>Part de stations conformes / non conformes (conformité globale ERU)</x:v>
      </x:c>
      <x:c r="E50" s="39" t="str">
        <x:v>Indicateur annuel calculé</x:v>
      </x:c>
      <x:c r="F50" s="39" t="str">
        <x:v>%</x:v>
      </x:c>
      <x:c r="G50" s="39" t="str">
        <x:v>STEU / EPCI / Martinique</x:v>
      </x:c>
      <x:c r="H50" s="39" t="str">
        <x:v>4,21</x:v>
      </x:c>
      <x:c r="I50" s="39" t="str">
        <x:v>2022 : Martinique 18 % ; CACEM 19 % ; CAESM 25 % ; CAPNM 11 %</x:v>
      </x:c>
      <x:c r="J50" s="39" t="str">
        <x:v>DEAL / ODE / ERU</x:v>
      </x:c>
      <x:c r="K50" s="39" t="str">
        <x:v>Portail national assainissement</x:v>
      </x:c>
      <x:c r="L50" s="39" t="str">
        <x:v>P203.3 + P204.3 + P205.3 historiquement liés</x:v>
      </x:c>
      <x:c r="M50" s="39" t="str">
        <x:v>Station conforme si collecte + équipement + performance conformes selon la règle du rapport</x:v>
      </x:c>
      <x:c r="N50" s="39" t="str">
        <x:v>Comptage de stations, non pondéré</x:v>
      </x:c>
      <x:c r="O50" s="39" t="str">
        <x:v>AUTO + calcul</x:v>
      </x:c>
      <x:c r="P50" s="39" t="str">
        <x:v>Annuelle</x:v>
      </x:c>
      <x:c r="Q50" s="39" t="str">
        <x:v>Élevée</x:v>
      </x:c>
      <x:c r="R50" s="39" t="str">
        <x:v>fact_steu</x:v>
      </x:c>
      <x:c r="S50" s="39" t="str">
        <x:v>Depuis l'exercice 2022, les indicateurs ERU ne sont plus à saisir manuellement dans SISPEA ; privilégier la source ministérielle.</x:v>
      </x:c>
      <x:c r="T50" s="39" t="str">
        <x:v>https://assainissement.developpement-durable.gouv.fr/pages/data/basededonneesteu.php</x:v>
      </x:c>
    </x:row>
    <x:row r="51">
      <x:c r="A51" s="39" t="str">
        <x:v>AC_010</x:v>
      </x:c>
      <x:c r="B51" s="39" t="str">
        <x:v>Assainissement collectif</x:v>
      </x:c>
      <x:c r="C51" s="39" t="str">
        <x:v>Conformité STEU</x:v>
      </x:c>
      <x:c r="D51" s="39" t="str">
        <x:v>Évolution du taux de stations conformes</x:v>
      </x:c>
      <x:c r="E51" s="39" t="str">
        <x:v>Série annuelle</x:v>
      </x:c>
      <x:c r="F51" s="39" t="str">
        <x:v>%</x:v>
      </x:c>
      <x:c r="G51" s="39" t="str">
        <x:v>Martinique</x:v>
      </x:c>
      <x:c r="H51" s="39" t="str">
        <x:v>4</x:v>
      </x:c>
      <x:c r="I51" s="39" t="str">
        <x:v>2020 16 % ; 2021 10 % ; 2022 18 %</x:v>
      </x:c>
      <x:c r="J51" s="39" t="str">
        <x:v>DEAL/ODE</x:v>
      </x:c>
      <x:c r="K51" s="39" t="str">
        <x:v>Portail national assainissement</x:v>
      </x:c>
      <x:c r="L51" s="39" t="str">
        <x:v>—</x:v>
      </x:c>
      <x:c r="M51" s="39" t="str">
        <x:v>Même règle qu'AC_009 pour chaque exercice</x:v>
      </x:c>
      <x:c r="N51" s="39" t="str">
        <x:v>Comptage</x:v>
      </x:c>
      <x:c r="O51" s="39" t="str">
        <x:v>AUTO + calcul</x:v>
      </x:c>
      <x:c r="P51" s="39" t="str">
        <x:v>Annuelle</x:v>
      </x:c>
      <x:c r="Q51" s="39" t="str">
        <x:v>Élevée</x:v>
      </x:c>
      <x:c r="R51" s="39" t="str">
        <x:v>fact_indicateur</x:v>
      </x:c>
      <x:c r="S51" s="39" t="str"/>
      <x:c r="T51" s="39" t="str">
        <x:v>https://assainissement.developpement-durable.gouv.fr/pages/data/basededonneesteu.php</x:v>
      </x:c>
    </x:row>
    <x:row r="52">
      <x:c r="A52" s="39" t="str">
        <x:v>AC_011</x:v>
      </x:c>
      <x:c r="B52" s="39" t="str">
        <x:v>Assainissement collectif</x:v>
      </x:c>
      <x:c r="C52" s="39" t="str">
        <x:v>Conformité STEU</x:v>
      </x:c>
      <x:c r="D52" s="39" t="str">
        <x:v>Part des effluents traités par une station conforme</x:v>
      </x:c>
      <x:c r="E52" s="39" t="str">
        <x:v>Indicateur annuel calculé</x:v>
      </x:c>
      <x:c r="F52" s="39" t="str">
        <x:v>%</x:v>
      </x:c>
      <x:c r="G52" s="39" t="str">
        <x:v>STEU / Martinique</x:v>
      </x:c>
      <x:c r="H52" s="39" t="str">
        <x:v>4</x:v>
      </x:c>
      <x:c r="I52" s="39" t="str">
        <x:v>2020 14 % ; 2021 25 % ; 2022 20 %</x:v>
      </x:c>
      <x:c r="J52" s="39" t="str">
        <x:v>DEAL/ODE</x:v>
      </x:c>
      <x:c r="K52" s="39" t="str">
        <x:v>Portail national assainissement + volumes traités locaux</x:v>
      </x:c>
      <x:c r="L52" s="39" t="str">
        <x:v>—</x:v>
      </x:c>
      <x:c r="M52" s="39" t="str">
        <x:v>Volume d'effluents des stations conformes / volume total traité</x:v>
      </x:c>
      <x:c r="N52" s="39" t="str">
        <x:v>Pondération par volume traité</x:v>
      </x:c>
      <x:c r="O52" s="39" t="str">
        <x:v>SEMI-AUTO + calcul</x:v>
      </x:c>
      <x:c r="P52" s="39" t="str">
        <x:v>Annuelle</x:v>
      </x:c>
      <x:c r="Q52" s="39" t="str">
        <x:v>Moyenne</x:v>
      </x:c>
      <x:c r="R52" s="39" t="str">
        <x:v>fact_steu</x:v>
      </x:c>
      <x:c r="S52" s="39" t="str">
        <x:v>Distinct de la part de capacité EH conforme (21 % en 2022).</x:v>
      </x:c>
      <x:c r="T52" s="39" t="str">
        <x:v>https://assainissement.developpement-durable.gouv.fr/pages/data/basededonneesteu.php</x:v>
      </x:c>
    </x:row>
    <x:row r="53">
      <x:c r="A53" s="39" t="str">
        <x:v>AC_012</x:v>
      </x:c>
      <x:c r="B53" s="39" t="str">
        <x:v>Assainissement collectif</x:v>
      </x:c>
      <x:c r="C53" s="39" t="str">
        <x:v>Boues</x:v>
      </x:c>
      <x:c r="D53" s="39" t="str">
        <x:v>Quantité totale de boues évacuées / produites en matière sèche</x:v>
      </x:c>
      <x:c r="E53" s="39" t="str">
        <x:v>Indicateur réglementaire annuel</x:v>
      </x:c>
      <x:c r="F53" s="39" t="str">
        <x:v>TMS/an</x:v>
      </x:c>
      <x:c r="G53" s="39" t="str">
        <x:v>STEU / EPCI / Martinique</x:v>
      </x:c>
      <x:c r="H53" s="39" t="str">
        <x:v>23</x:v>
      </x:c>
      <x:c r="I53" s="39" t="str">
        <x:v>1 622 TMS ; CAESM 322 ; CACEM 1 017 ; CAPNM 282</x:v>
      </x:c>
      <x:c r="J53" s="39" t="str">
        <x:v>RAD/RPQS</x:v>
      </x:c>
      <x:c r="K53" s="39" t="str">
        <x:v>SISPEA + portail assainissement</x:v>
      </x:c>
      <x:c r="L53" s="39" t="str">
        <x:v>D203.0 ; VP.208</x:v>
      </x:c>
      <x:c r="M53" s="39" t="str">
        <x:v>Somme TMS évacuées selon définition SISPEA</x:v>
      </x:c>
      <x:c r="N53" s="39" t="str">
        <x:v>Somme par station/service</x:v>
      </x:c>
      <x:c r="O53" s="39" t="str">
        <x:v>AUTO</x:v>
      </x:c>
      <x:c r="P53" s="39" t="str">
        <x:v>Annuelle</x:v>
      </x:c>
      <x:c r="Q53" s="39" t="str">
        <x:v>Élevée</x:v>
      </x:c>
      <x:c r="R53" s="39" t="str">
        <x:v>fact_boues</x:v>
      </x:c>
      <x:c r="S53" s="39" t="str">
        <x:v>Les sous-totaux EPCI donnent 1 621 TMS contre 1 622 total : conserver l'écart comme contrôle qualité.</x:v>
      </x:c>
      <x:c r="T53" s="39" t="str">
        <x:v>https://services.eaufrance.fr/indicateurs/D203.0</x:v>
      </x:c>
    </x:row>
    <x:row r="54">
      <x:c r="A54" s="39" t="str">
        <x:v>AC_013</x:v>
      </x:c>
      <x:c r="B54" s="39" t="str">
        <x:v>Assainissement collectif</x:v>
      </x:c>
      <x:c r="C54" s="39" t="str">
        <x:v>Boues</x:v>
      </x:c>
      <x:c r="D54" s="39" t="str">
        <x:v>Production de boues par abonné</x:v>
      </x:c>
      <x:c r="E54" s="39" t="str">
        <x:v>Indicateur dérivé</x:v>
      </x:c>
      <x:c r="F54" s="39" t="str">
        <x:v>kg MS/abonné/an</x:v>
      </x:c>
      <x:c r="G54" s="39" t="str">
        <x:v>EPCI</x:v>
      </x:c>
      <x:c r="H54" s="39" t="str">
        <x:v>23</x:v>
      </x:c>
      <x:c r="I54" s="39" t="str">
        <x:v>CAESM 13,5 ; CACEM 25,76 ; CAPNM 16,13</x:v>
      </x:c>
      <x:c r="J54" s="39" t="str">
        <x:v>Calcul ODE</x:v>
      </x:c>
      <x:c r="K54" s="39" t="str">
        <x:v>SISPEA D203.0/VP.208 + VP.056</x:v>
      </x:c>
      <x:c r="L54" s="39" t="str">
        <x:v>—</x:v>
      </x:c>
      <x:c r="M54" s="39" t="str">
        <x:v>TMS ×1000 / abonnés AC</x:v>
      </x:c>
      <x:c r="N54" s="39" t="str">
        <x:v>Ratio des totaux</x:v>
      </x:c>
      <x:c r="O54" s="39" t="str">
        <x:v>AUTO + calcul</x:v>
      </x:c>
      <x:c r="P54" s="39" t="str">
        <x:v>Annuelle</x:v>
      </x:c>
      <x:c r="Q54" s="39" t="str">
        <x:v>Élevée</x:v>
      </x:c>
      <x:c r="R54" s="39" t="str">
        <x:v>fact_indicateur</x:v>
      </x:c>
      <x:c r="S54" s="39" t="str"/>
      <x:c r="T54" s="39" t="str">
        <x:v>https://www.services.eaufrance.fr/liste-des-variables-de-performances-des-services-d-assainissement-collectif</x:v>
      </x:c>
    </x:row>
    <x:row r="55">
      <x:c r="A55" s="39" t="str">
        <x:v>AC_014</x:v>
      </x:c>
      <x:c r="B55" s="39" t="str">
        <x:v>Assainissement collectif</x:v>
      </x:c>
      <x:c r="C55" s="39" t="str">
        <x:v>Abonnés</x:v>
      </x:c>
      <x:c r="D55" s="39" t="str">
        <x:v>Nombre d'abonnés au service d'assainissement collectif</x:v>
      </x:c>
      <x:c r="E55" s="39" t="str">
        <x:v>Donnée annuelle</x:v>
      </x:c>
      <x:c r="F55" s="39" t="str">
        <x:v>abonnés</x:v>
      </x:c>
      <x:c r="G55" s="39" t="str">
        <x:v>Service / EPCI / Martinique</x:v>
      </x:c>
      <x:c r="H55" s="39" t="str">
        <x:v>24</x:v>
      </x:c>
      <x:c r="I55" s="39" t="str">
        <x:v>80 832</x:v>
      </x:c>
      <x:c r="J55" s="39" t="str">
        <x:v>RAD/RPQS</x:v>
      </x:c>
      <x:c r="K55" s="39" t="str">
        <x:v>SISPEA</x:v>
      </x:c>
      <x:c r="L55" s="39" t="str">
        <x:v>VP.056</x:v>
      </x:c>
      <x:c r="M55" s="39" t="str">
        <x:v>Somme des abonnés sans double-compte</x:v>
      </x:c>
      <x:c r="N55" s="39" t="str">
        <x:v>Somme</x:v>
      </x:c>
      <x:c r="O55" s="39" t="str">
        <x:v>AUTO</x:v>
      </x:c>
      <x:c r="P55" s="39" t="str">
        <x:v>Annuelle</x:v>
      </x:c>
      <x:c r="Q55" s="39" t="str">
        <x:v>Élevée</x:v>
      </x:c>
      <x:c r="R55" s="39" t="str">
        <x:v>fact_indicateur</x:v>
      </x:c>
      <x:c r="S55" s="39" t="str"/>
      <x:c r="T55" s="39" t="str">
        <x:v>https://www.services.eaufrance.fr/liste-des-variables-de-performances-des-services-d-assainissement-collectif</x:v>
      </x:c>
    </x:row>
    <x:row r="56">
      <x:c r="A56" s="39" t="str">
        <x:v>AC_015</x:v>
      </x:c>
      <x:c r="B56" s="39" t="str">
        <x:v>Assainissement collectif</x:v>
      </x:c>
      <x:c r="C56" s="39" t="str">
        <x:v>Volumes</x:v>
      </x:c>
      <x:c r="D56" s="39" t="str">
        <x:v>Volume d'eaux usées facturé / traité présenté dans le rapport</x:v>
      </x:c>
      <x:c r="E56" s="39" t="str">
        <x:v>Donnée annuelle</x:v>
      </x:c>
      <x:c r="F56" s="39" t="str">
        <x:v>m³/an</x:v>
      </x:c>
      <x:c r="G56" s="39" t="str">
        <x:v>Service / Martinique</x:v>
      </x:c>
      <x:c r="H56" s="39" t="str">
        <x:v>4,24</x:v>
      </x:c>
      <x:c r="I56" s="39" t="str">
        <x:v>9 940 643</x:v>
      </x:c>
      <x:c r="J56" s="39" t="str">
        <x:v>RAD/RPQS</x:v>
      </x:c>
      <x:c r="K56" s="39" t="str">
        <x:v>SISPEA pour volume facturé ; portail/RAD pour traité</x:v>
      </x:c>
      <x:c r="L56" s="39" t="str">
        <x:v>VP.068 pour facturé</x:v>
      </x:c>
      <x:c r="M56" s="39" t="str">
        <x:v>Définir si le rapport assimile facturé et traité ou utilise une variable locale unique</x:v>
      </x:c>
      <x:c r="N56" s="39" t="str">
        <x:v>Somme</x:v>
      </x:c>
      <x:c r="O56" s="39" t="str">
        <x:v>AUTO/SEMI-AUTO</x:v>
      </x:c>
      <x:c r="P56" s="39" t="str">
        <x:v>Annuelle</x:v>
      </x:c>
      <x:c r="Q56" s="39" t="str">
        <x:v>Moyenne</x:v>
      </x:c>
      <x:c r="R56" s="39" t="str">
        <x:v>fact_volume</x:v>
      </x:c>
      <x:c r="S56" s="39" t="str">
        <x:v>Le libellé « facturé et traité » mérite une clarification méthodologique.</x:v>
      </x:c>
      <x:c r="T56" s="39" t="str">
        <x:v>https://www.services.eaufrance.fr/variables/vp.068</x:v>
      </x:c>
    </x:row>
    <x:row r="57">
      <x:c r="A57" s="39" t="str">
        <x:v>AC_016</x:v>
      </x:c>
      <x:c r="B57" s="39" t="str">
        <x:v>Assainissement collectif</x:v>
      </x:c>
      <x:c r="C57" s="39" t="str">
        <x:v>Raccordement</x:v>
      </x:c>
      <x:c r="D57" s="39" t="str">
        <x:v>Part des abonnés AEP également abonnés à l'assainissement collectif</x:v>
      </x:c>
      <x:c r="E57" s="39" t="str">
        <x:v>Indicateur dérivé</x:v>
      </x:c>
      <x:c r="F57" s="39" t="str">
        <x:v>%</x:v>
      </x:c>
      <x:c r="G57" s="39" t="str">
        <x:v>EPCI / Martinique</x:v>
      </x:c>
      <x:c r="H57" s="39" t="str">
        <x:v>25</x:v>
      </x:c>
      <x:c r="I57" s="39" t="str">
        <x:v>CAESM 39 % ; CACEM 52 % ; CAPNM 32 % ; Martinique 42,5 %</x:v>
      </x:c>
      <x:c r="J57" s="39" t="str">
        <x:v>Calcul ODE</x:v>
      </x:c>
      <x:c r="K57" s="39" t="str">
        <x:v>SISPEA EP + AC</x:v>
      </x:c>
      <x:c r="L57" s="39" t="str">
        <x:v>VP.056 EP et AC</x:v>
      </x:c>
      <x:c r="M57" s="39" t="str">
        <x:v>Nb abonnés AC / nb abonnés AEP ×100 — formule inférée des totaux 80 832 / 190 066 = 42,5 %</x:v>
      </x:c>
      <x:c r="N57" s="39" t="str">
        <x:v>Ratio de totaux sur périmètres identiques</x:v>
      </x:c>
      <x:c r="O57" s="39" t="str">
        <x:v>AUTO + calcul</x:v>
      </x:c>
      <x:c r="P57" s="39" t="str">
        <x:v>Annuelle</x:v>
      </x:c>
      <x:c r="Q57" s="39" t="str">
        <x:v>Moyenne</x:v>
      </x:c>
      <x:c r="R57" s="39" t="str">
        <x:v>fact_indicateur</x:v>
      </x:c>
      <x:c r="S57" s="39" t="str">
        <x:v>À valider avec l'ODE avant codage. Ce n'est pas l'indicateur SISPEA P201.1.</x:v>
      </x:c>
      <x:c r="T57" s="39" t="str">
        <x:v>https://www.services.eaufrance.fr/pro/telechargement</x:v>
      </x:c>
    </x:row>
    <x:row r="58">
      <x:c r="A58" s="39" t="str">
        <x:v>AC_017</x:v>
      </x:c>
      <x:c r="B58" s="39" t="str">
        <x:v>Assainissement collectif</x:v>
      </x:c>
      <x:c r="C58" s="39" t="str">
        <x:v>Raccordement</x:v>
      </x:c>
      <x:c r="D58" s="39" t="str">
        <x:v>Part AC par commune</x:v>
      </x:c>
      <x:c r="E58" s="39" t="str">
        <x:v>Indicateur dérivé géographique</x:v>
      </x:c>
      <x:c r="F58" s="39" t="str">
        <x:v>%</x:v>
      </x:c>
      <x:c r="G58" s="39" t="str">
        <x:v>Commune</x:v>
      </x:c>
      <x:c r="H58" s="39" t="str">
        <x:v>25,27</x:v>
      </x:c>
      <x:c r="I58" s="39" t="str">
        <x:v>Max Trois-Ilets 70 % ; min Rivière-Pilote 4 %</x:v>
      </x:c>
      <x:c r="J58" s="39" t="str">
        <x:v>Calcul ODE</x:v>
      </x:c>
      <x:c r="K58" s="39" t="str">
        <x:v>SISPEA + INSEE / données abonnés par commune</x:v>
      </x:c>
      <x:c r="L58" s="39" t="str">
        <x:v>—</x:v>
      </x:c>
      <x:c r="M58" s="39" t="str">
        <x:v>Méthode à valider : ratio abonnés AC/AEP ou population raccordée</x:v>
      </x:c>
      <x:c r="N58" s="39" t="str">
        <x:v>Calcul commune puis agrégation pondérée</x:v>
      </x:c>
      <x:c r="O58" s="39" t="str">
        <x:v>SEMI-AUTO + calcul</x:v>
      </x:c>
      <x:c r="P58" s="39" t="str">
        <x:v>Annuelle</x:v>
      </x:c>
      <x:c r="Q58" s="39" t="str">
        <x:v>Moyenne</x:v>
      </x:c>
      <x:c r="R58" s="39" t="str">
        <x:v>fact_indicateur</x:v>
      </x:c>
      <x:c r="S58" s="39" t="str">
        <x:v>Le rapport parle à la fois d'abonnés et de Martiniquais ; verrouiller la définition.</x:v>
      </x:c>
      <x:c r="T58" s="39" t="str">
        <x:v>https://www.services.eaufrance.fr/pro/telechargement</x:v>
      </x:c>
    </x:row>
    <x:row r="59">
      <x:c r="A59" s="39" t="str">
        <x:v>ANC_001</x:v>
      </x:c>
      <x:c r="B59" s="39" t="str">
        <x:v>Assainissement non collectif</x:v>
      </x:c>
      <x:c r="C59" s="39" t="str">
        <x:v>Population</x:v>
      </x:c>
      <x:c r="D59" s="39" t="str">
        <x:v>Part des Martiniquais relevant de l'ANC</x:v>
      </x:c>
      <x:c r="E59" s="39" t="str">
        <x:v>Indicateur annuel calculé</x:v>
      </x:c>
      <x:c r="F59" s="39" t="str">
        <x:v>%</x:v>
      </x:c>
      <x:c r="G59" s="39" t="str">
        <x:v>Martinique</x:v>
      </x:c>
      <x:c r="H59" s="39" t="str">
        <x:v>26</x:v>
      </x:c>
      <x:c r="I59" s="39" t="str">
        <x:v>57 %</x:v>
      </x:c>
      <x:c r="J59" s="39" t="str">
        <x:v>ODE</x:v>
      </x:c>
      <x:c r="K59" s="39" t="str">
        <x:v>SISPEA ANC + INSEE / zonages</x:v>
      </x:c>
      <x:c r="L59" s="39" t="str">
        <x:v>VP.230 ; D301.0</x:v>
      </x:c>
      <x:c r="M59" s="39" t="str">
        <x:v>Population ANC / population de référence ×100</x:v>
      </x:c>
      <x:c r="N59" s="39" t="str">
        <x:v>Somme populations avant calcul</x:v>
      </x:c>
      <x:c r="O59" s="39" t="str">
        <x:v>AUTO/SEMI-AUTO + calcul</x:v>
      </x:c>
      <x:c r="P59" s="39" t="str">
        <x:v>Annuelle</x:v>
      </x:c>
      <x:c r="Q59" s="39" t="str">
        <x:v>Moyenne</x:v>
      </x:c>
      <x:c r="R59" s="39" t="str">
        <x:v>fact_anc</x:v>
      </x:c>
      <x:c r="S59" s="39" t="str">
        <x:v>La cohérence avec AC_016 doit être testée mais les dénominateurs semblent différents dans le rapport.</x:v>
      </x:c>
      <x:c r="T59" s="39" t="str">
        <x:v>https://www.services.eaufrance.fr/liste-des-variables-d-assainissement-non-collectif</x:v>
      </x:c>
    </x:row>
    <x:row r="60">
      <x:c r="A60" s="39" t="str">
        <x:v>ANC_002</x:v>
      </x:c>
      <x:c r="B60" s="39" t="str">
        <x:v>Assainissement non collectif</x:v>
      </x:c>
      <x:c r="C60" s="39" t="str">
        <x:v>Population</x:v>
      </x:c>
      <x:c r="D60" s="39" t="str">
        <x:v>Nombre de personnes relevant de l'ANC</x:v>
      </x:c>
      <x:c r="E60" s="39" t="str">
        <x:v>Donnée annuelle</x:v>
      </x:c>
      <x:c r="F60" s="39" t="str">
        <x:v>habitants</x:v>
      </x:c>
      <x:c r="G60" s="39" t="str">
        <x:v>SPANC / Martinique</x:v>
      </x:c>
      <x:c r="H60" s="39" t="str">
        <x:v>26</x:v>
      </x:c>
      <x:c r="I60" s="39" t="str">
        <x:v>205 898</x:v>
      </x:c>
      <x:c r="J60" s="39" t="str">
        <x:v>ODE</x:v>
      </x:c>
      <x:c r="K60" s="39" t="str">
        <x:v>SISPEA ANC</x:v>
      </x:c>
      <x:c r="L60" s="39" t="str">
        <x:v>D301.0</x:v>
      </x:c>
      <x:c r="M60" s="39" t="str">
        <x:v>Somme des habitants desservis par SPANC selon périmètres</x:v>
      </x:c>
      <x:c r="N60" s="39" t="str">
        <x:v>Somme contrôlée</x:v>
      </x:c>
      <x:c r="O60" s="39" t="str">
        <x:v>AUTO</x:v>
      </x:c>
      <x:c r="P60" s="39" t="str">
        <x:v>Annuelle</x:v>
      </x:c>
      <x:c r="Q60" s="39" t="str">
        <x:v>Élevée</x:v>
      </x:c>
      <x:c r="R60" s="39" t="str">
        <x:v>fact_anc</x:v>
      </x:c>
      <x:c r="S60" s="39" t="str"/>
      <x:c r="T60" s="39" t="str">
        <x:v>https://www.services.eaufrance.fr/indicateurs/D301.0</x:v>
      </x:c>
    </x:row>
    <x:row r="61">
      <x:c r="A61" s="39" t="str">
        <x:v>ANC_003</x:v>
      </x:c>
      <x:c r="B61" s="39" t="str">
        <x:v>Assainissement non collectif</x:v>
      </x:c>
      <x:c r="C61" s="39" t="str">
        <x:v>Parc</x:v>
      </x:c>
      <x:c r="D61" s="39" t="str">
        <x:v>Nombre estimé de dispositifs individuels ANC</x:v>
      </x:c>
      <x:c r="E61" s="39" t="str">
        <x:v>Donnée annuelle/patrimoine</x:v>
      </x:c>
      <x:c r="F61" s="39" t="str">
        <x:v>installations</x:v>
      </x:c>
      <x:c r="G61" s="39" t="str">
        <x:v>SPANC / Martinique</x:v>
      </x:c>
      <x:c r="H61" s="39" t="str">
        <x:v>26,28</x:v>
      </x:c>
      <x:c r="I61" s="39" t="str">
        <x:v>73 000</x:v>
      </x:c>
      <x:c r="J61" s="39" t="str">
        <x:v>ODE</x:v>
      </x:c>
      <x:c r="K61" s="39" t="str">
        <x:v>SISPEA ANC + données SPANC</x:v>
      </x:c>
      <x:c r="L61" s="39" t="str">
        <x:v>DC.306</x:v>
      </x:c>
      <x:c r="M61" s="39" t="str">
        <x:v>Somme du nombre d'installations domestiques et assimilées</x:v>
      </x:c>
      <x:c r="N61" s="39" t="str">
        <x:v>Somme</x:v>
      </x:c>
      <x:c r="O61" s="39" t="str">
        <x:v>AUTO/SEMI-AUTO</x:v>
      </x:c>
      <x:c r="P61" s="39" t="str">
        <x:v>Annuelle</x:v>
      </x:c>
      <x:c r="Q61" s="39" t="str">
        <x:v>Moyenne</x:v>
      </x:c>
      <x:c r="R61" s="39" t="str">
        <x:v>fact_anc</x:v>
      </x:c>
      <x:c r="S61" s="39" t="str">
        <x:v>La complétude de DC.306 doit être contrôlée par SPANC.</x:v>
      </x:c>
      <x:c r="T61" s="39" t="str">
        <x:v>https://www.services.eaufrance.fr/liste-des-variables-d-assainissement-non-collectif</x:v>
      </x:c>
    </x:row>
    <x:row r="62">
      <x:c r="A62" s="39" t="str">
        <x:v>ANC_004</x:v>
      </x:c>
      <x:c r="B62" s="39" t="str">
        <x:v>Assainissement non collectif</x:v>
      </x:c>
      <x:c r="C62" s="39" t="str">
        <x:v>Parc</x:v>
      </x:c>
      <x:c r="D62" s="39" t="str">
        <x:v>Répartition AC / ANC par commune</x:v>
      </x:c>
      <x:c r="E62" s="39" t="str">
        <x:v>Indicateur géographique calculé</x:v>
      </x:c>
      <x:c r="F62" s="39" t="str">
        <x:v>%</x:v>
      </x:c>
      <x:c r="G62" s="39" t="str">
        <x:v>Commune</x:v>
      </x:c>
      <x:c r="H62" s="39" t="str">
        <x:v>27</x:v>
      </x:c>
      <x:c r="I62" s="39" t="str">
        <x:v>Carte 2022</x:v>
      </x:c>
      <x:c r="J62" s="39" t="str">
        <x:v>ODE ; abonnés eau ; population</x:v>
      </x:c>
      <x:c r="K62" s="39" t="str">
        <x:v>SISPEA + INSEE + zonages</x:v>
      </x:c>
      <x:c r="L62" s="39" t="str">
        <x:v>—</x:v>
      </x:c>
      <x:c r="M62" s="39" t="str">
        <x:v>Méthode du rapport à reconstituer et documenter</x:v>
      </x:c>
      <x:c r="N62" s="39" t="str">
        <x:v>Calcul commune</x:v>
      </x:c>
      <x:c r="O62" s="39" t="str">
        <x:v>SEMI-AUTO + calcul</x:v>
      </x:c>
      <x:c r="P62" s="39" t="str">
        <x:v>Annuelle</x:v>
      </x:c>
      <x:c r="Q62" s="39" t="str">
        <x:v>Moyenne</x:v>
      </x:c>
      <x:c r="R62" s="39" t="str">
        <x:v>fact_anc</x:v>
      </x:c>
      <x:c r="S62" s="39" t="str">
        <x:v>La carte ne fournit pas toutes les valeurs sous forme tabulaire dans le PDF ; récupérer la donnée source ODE si disponible.</x:v>
      </x:c>
      <x:c r="T62" s="39" t="str"/>
    </x:row>
    <x:row r="63">
      <x:c r="A63" s="39" t="str">
        <x:v>ANC_005</x:v>
      </x:c>
      <x:c r="B63" s="39" t="str">
        <x:v>Assainissement non collectif</x:v>
      </x:c>
      <x:c r="C63" s="39" t="str">
        <x:v>Stations privées</x:v>
      </x:c>
      <x:c r="D63" s="39" t="str">
        <x:v>Nombre de stations d'épuration en gestion privée</x:v>
      </x:c>
      <x:c r="E63" s="39" t="str">
        <x:v>Donnée de patrimoine</x:v>
      </x:c>
      <x:c r="F63" s="39" t="str">
        <x:v>nb</x:v>
      </x:c>
      <x:c r="G63" s="39" t="str">
        <x:v>Station privée / Martinique</x:v>
      </x:c>
      <x:c r="H63" s="39" t="str">
        <x:v>28</x:v>
      </x:c>
      <x:c r="I63" s="39" t="str">
        <x:v>177</x:v>
      </x:c>
      <x:c r="J63" s="39" t="str">
        <x:v>ODE / données propriétaires</x:v>
      </x:c>
      <x:c r="K63" s="39" t="str">
        <x:v>ODE / DEAL / inventaire local</x:v>
      </x:c>
      <x:c r="L63" s="39" t="str">
        <x:v>—</x:v>
      </x:c>
      <x:c r="M63" s="39" t="str">
        <x:v>Comptage des stations privées actives</x:v>
      </x:c>
      <x:c r="N63" s="39" t="str">
        <x:v>Somme</x:v>
      </x:c>
      <x:c r="O63" s="39" t="str">
        <x:v>MANUEL/SEMI-AUTO</x:v>
      </x:c>
      <x:c r="P63" s="39" t="str">
        <x:v>Annuelle</x:v>
      </x:c>
      <x:c r="Q63" s="39" t="str">
        <x:v>Faible</x:v>
      </x:c>
      <x:c r="R63" s="39" t="str">
        <x:v>dim_steu_privee</x:v>
      </x:c>
      <x:c r="S63" s="39" t="str">
        <x:v>Non couvert de façon équivalente par SISPEA ANC.</x:v>
      </x:c>
      <x:c r="T63" s="39" t="str"/>
    </x:row>
    <x:row r="64">
      <x:c r="A64" s="39" t="str">
        <x:v>ANC_006</x:v>
      </x:c>
      <x:c r="B64" s="39" t="str">
        <x:v>Assainissement non collectif</x:v>
      </x:c>
      <x:c r="C64" s="39" t="str">
        <x:v>Stations privées</x:v>
      </x:c>
      <x:c r="D64" s="39" t="str">
        <x:v>Capacité cumulée des stations privées</x:v>
      </x:c>
      <x:c r="E64" s="39" t="str">
        <x:v>Donnée de patrimoine</x:v>
      </x:c>
      <x:c r="F64" s="39" t="str">
        <x:v>EH</x:v>
      </x:c>
      <x:c r="G64" s="39" t="str">
        <x:v>Station privée / Martinique</x:v>
      </x:c>
      <x:c r="H64" s="39" t="str">
        <x:v>28</x:v>
      </x:c>
      <x:c r="I64" s="39" t="str">
        <x:v>33 130 EH</x:v>
      </x:c>
      <x:c r="J64" s="39" t="str">
        <x:v>ODE / données propriétaires</x:v>
      </x:c>
      <x:c r="K64" s="39" t="str">
        <x:v>ODE / DEAL / inventaire local</x:v>
      </x:c>
      <x:c r="L64" s="39" t="str">
        <x:v>—</x:v>
      </x:c>
      <x:c r="M64" s="39" t="str">
        <x:v>Somme capacités nominales</x:v>
      </x:c>
      <x:c r="N64" s="39" t="str">
        <x:v>Somme</x:v>
      </x:c>
      <x:c r="O64" s="39" t="str">
        <x:v>MANUEL/SEMI-AUTO</x:v>
      </x:c>
      <x:c r="P64" s="39" t="str">
        <x:v>Annuelle</x:v>
      </x:c>
      <x:c r="Q64" s="39" t="str">
        <x:v>Faible</x:v>
      </x:c>
      <x:c r="R64" s="39" t="str">
        <x:v>fact_steu_privee</x:v>
      </x:c>
      <x:c r="S64" s="39" t="str"/>
      <x:c r="T64" s="39" t="str"/>
    </x:row>
    <x:row r="65">
      <x:c r="A65" s="39" t="str">
        <x:v>ANC_007</x:v>
      </x:c>
      <x:c r="B65" s="39" t="str">
        <x:v>Assainissement non collectif</x:v>
      </x:c>
      <x:c r="C65" s="39" t="str">
        <x:v>Stations privées</x:v>
      </x:c>
      <x:c r="D65" s="39" t="str">
        <x:v>Part de capacité privée par rapport aux stations publiques</x:v>
      </x:c>
      <x:c r="E65" s="39" t="str">
        <x:v>Indicateur dérivé</x:v>
      </x:c>
      <x:c r="F65" s="39" t="str">
        <x:v>%</x:v>
      </x:c>
      <x:c r="G65" s="39" t="str">
        <x:v>Martinique</x:v>
      </x:c>
      <x:c r="H65" s="39" t="str">
        <x:v>28</x:v>
      </x:c>
      <x:c r="I65" s="39" t="str">
        <x:v>9 %</x:v>
      </x:c>
      <x:c r="J65" s="39" t="str">
        <x:v>Calcul ODE</x:v>
      </x:c>
      <x:c r="K65" s="39" t="str">
        <x:v>ANC_006 + capacité publique</x:v>
      </x:c>
      <x:c r="L65" s="39" t="str">
        <x:v>—</x:v>
      </x:c>
      <x:c r="M65" s="39" t="str">
        <x:v>Capacité privée / capacité publique de référence ×100</x:v>
      </x:c>
      <x:c r="N65" s="39" t="str">
        <x:v>Ratio de totaux</x:v>
      </x:c>
      <x:c r="O65" s="39" t="str">
        <x:v>AUTO après collecte locale</x:v>
      </x:c>
      <x:c r="P65" s="39" t="str">
        <x:v>Annuelle</x:v>
      </x:c>
      <x:c r="Q65" s="39" t="str">
        <x:v>Moyenne</x:v>
      </x:c>
      <x:c r="R65" s="39" t="str">
        <x:v>fact_indicateur</x:v>
      </x:c>
      <x:c r="S65" s="39" t="str">
        <x:v>Le dénominateur exact du rapport doit être verrouillé.</x:v>
      </x:c>
      <x:c r="T65" s="39" t="str"/>
    </x:row>
    <x:row r="66">
      <x:c r="A66" s="39" t="str">
        <x:v>ANC_008</x:v>
      </x:c>
      <x:c r="B66" s="39" t="str">
        <x:v>Assainissement non collectif</x:v>
      </x:c>
      <x:c r="C66" s="39" t="str">
        <x:v>Stations privées</x:v>
      </x:c>
      <x:c r="D66" s="39" t="str">
        <x:v>Part des stations privées de moins de 500 EH</x:v>
      </x:c>
      <x:c r="E66" s="39" t="str">
        <x:v>Indicateur dérivé</x:v>
      </x:c>
      <x:c r="F66" s="39" t="str">
        <x:v>%</x:v>
      </x:c>
      <x:c r="G66" s="39" t="str">
        <x:v>Station privée / Martinique</x:v>
      </x:c>
      <x:c r="H66" s="39" t="str">
        <x:v>28</x:v>
      </x:c>
      <x:c r="I66" s="39" t="str">
        <x:v>88 %</x:v>
      </x:c>
      <x:c r="J66" s="39" t="str">
        <x:v>ODE</x:v>
      </x:c>
      <x:c r="K66" s="39" t="str">
        <x:v>Inventaire local</x:v>
      </x:c>
      <x:c r="L66" s="39" t="str">
        <x:v>—</x:v>
      </x:c>
      <x:c r="M66" s="39" t="str">
        <x:v>Nb stations capacité &lt;500 / nb stations privées ×100</x:v>
      </x:c>
      <x:c r="N66" s="39" t="str">
        <x:v>Comptage</x:v>
      </x:c>
      <x:c r="O66" s="39" t="str">
        <x:v>SEMI-AUTO</x:v>
      </x:c>
      <x:c r="P66" s="39" t="str">
        <x:v>Annuelle</x:v>
      </x:c>
      <x:c r="Q66" s="39" t="str">
        <x:v>Moyenne</x:v>
      </x:c>
      <x:c r="R66" s="39" t="str">
        <x:v>fact_indicateur</x:v>
      </x:c>
      <x:c r="S66" s="39" t="str"/>
      <x:c r="T66" s="39" t="str"/>
    </x:row>
    <x:row r="67">
      <x:c r="A67" s="39" t="str">
        <x:v>ANC_009</x:v>
      </x:c>
      <x:c r="B67" s="39" t="str">
        <x:v>Assainissement non collectif</x:v>
      </x:c>
      <x:c r="C67" s="39" t="str">
        <x:v>Stations privées</x:v>
      </x:c>
      <x:c r="D67" s="39" t="str">
        <x:v>Taux de stations privées ayant transmis des données de conformité</x:v>
      </x:c>
      <x:c r="E67" s="39" t="str">
        <x:v>Indicateur annuel</x:v>
      </x:c>
      <x:c r="F67" s="39" t="str">
        <x:v>%</x:v>
      </x:c>
      <x:c r="G67" s="39" t="str">
        <x:v>Station privée / Martinique</x:v>
      </x:c>
      <x:c r="H67" s="39" t="str">
        <x:v>28</x:v>
      </x:c>
      <x:c r="I67" s="39" t="str">
        <x:v>4 % (données 2020)</x:v>
      </x:c>
      <x:c r="J67" s="39" t="str">
        <x:v>ODE / propriétaires</x:v>
      </x:c>
      <x:c r="K67" s="39" t="str">
        <x:v>ODE / DEAL / collecte annuelle</x:v>
      </x:c>
      <x:c r="L67" s="39" t="str">
        <x:v>—</x:v>
      </x:c>
      <x:c r="M67" s="39" t="str">
        <x:v>Nb stations avec données conformité / nb stations privées ×100</x:v>
      </x:c>
      <x:c r="N67" s="39" t="str">
        <x:v>Comptage</x:v>
      </x:c>
      <x:c r="O67" s="39" t="str">
        <x:v>MANUEL/SEMI-AUTO</x:v>
      </x:c>
      <x:c r="P67" s="39" t="str">
        <x:v>Annuelle</x:v>
      </x:c>
      <x:c r="Q67" s="39" t="str">
        <x:v>Moyenne</x:v>
      </x:c>
      <x:c r="R67" s="39" t="str">
        <x:v>fact_indicateur</x:v>
      </x:c>
      <x:c r="S67" s="39" t="str">
        <x:v>L'année de la donnée diffère du millésime général du rapport : conserver annee_reference propre à la donnée.</x:v>
      </x:c>
      <x:c r="T67" s="39" t="str"/>
    </x:row>
    <x:row r="68">
      <x:c r="A68" s="39" t="str">
        <x:v>ANC_010</x:v>
      </x:c>
      <x:c r="B68" s="39" t="str">
        <x:v>Assainissement non collectif</x:v>
      </x:c>
      <x:c r="C68" s="39" t="str">
        <x:v>SPANC</x:v>
      </x:c>
      <x:c r="D68" s="39" t="str">
        <x:v>Nombre de contrôles sur le neuf</x:v>
      </x:c>
      <x:c r="E68" s="39" t="str">
        <x:v>Donnée annuelle</x:v>
      </x:c>
      <x:c r="F68" s="39" t="str">
        <x:v>contrôles/an</x:v>
      </x:c>
      <x:c r="G68" s="39" t="str">
        <x:v>SPANC / Martinique</x:v>
      </x:c>
      <x:c r="H68" s="39" t="str">
        <x:v>29</x:v>
      </x:c>
      <x:c r="I68" s="39" t="str">
        <x:v>2022 : 1 007</x:v>
      </x:c>
      <x:c r="J68" s="39" t="str">
        <x:v>SPANC</x:v>
      </x:c>
      <x:c r="K68" s="39" t="str">
        <x:v>SISPEA ANC</x:v>
      </x:c>
      <x:c r="L68" s="39" t="str">
        <x:v>DC.332 + DC.333 à étudier</x:v>
      </x:c>
      <x:c r="M68" s="39" t="str">
        <x:v>Le rapport agrège les contrôles de conception/réalisation sous « neuf » ; éviter le double-compte d'une même installation</x:v>
      </x:c>
      <x:c r="N68" s="39" t="str">
        <x:v>Somme contrôlée</x:v>
      </x:c>
      <x:c r="O68" s="39" t="str">
        <x:v>AUTO/SEMI-AUTO</x:v>
      </x:c>
      <x:c r="P68" s="39" t="str">
        <x:v>Annuelle</x:v>
      </x:c>
      <x:c r="Q68" s="39" t="str">
        <x:v>Moyenne</x:v>
      </x:c>
      <x:c r="R68" s="39" t="str">
        <x:v>fact_anc_controle</x:v>
      </x:c>
      <x:c r="S68" s="39" t="str">
        <x:v>La correspondance exacte entre le chiffre ODE et les deux variables SISPEA doit être testée sur 2022.</x:v>
      </x:c>
      <x:c r="T68" s="39" t="str">
        <x:v>https://www.services.eaufrance.fr/liste-des-variables-d-assainissement-non-collectif</x:v>
      </x:c>
    </x:row>
    <x:row r="69">
      <x:c r="A69" s="39" t="str">
        <x:v>ANC_011</x:v>
      </x:c>
      <x:c r="B69" s="39" t="str">
        <x:v>Assainissement non collectif</x:v>
      </x:c>
      <x:c r="C69" s="39" t="str">
        <x:v>SPANC</x:v>
      </x:c>
      <x:c r="D69" s="39" t="str">
        <x:v>Nombre de contrôles sur l'existant</x:v>
      </x:c>
      <x:c r="E69" s="39" t="str">
        <x:v>Donnée annuelle</x:v>
      </x:c>
      <x:c r="F69" s="39" t="str">
        <x:v>contrôles/an</x:v>
      </x:c>
      <x:c r="G69" s="39" t="str">
        <x:v>SPANC / Martinique</x:v>
      </x:c>
      <x:c r="H69" s="39" t="str">
        <x:v>29</x:v>
      </x:c>
      <x:c r="I69" s="39" t="str">
        <x:v>2022 : 591</x:v>
      </x:c>
      <x:c r="J69" s="39" t="str">
        <x:v>SPANC</x:v>
      </x:c>
      <x:c r="K69" s="39" t="str">
        <x:v>SISPEA ANC</x:v>
      </x:c>
      <x:c r="L69" s="39" t="str">
        <x:v>VP.334</x:v>
      </x:c>
      <x:c r="M69" s="39" t="str">
        <x:v>Somme des vérifications de fonctionnement et d'entretien</x:v>
      </x:c>
      <x:c r="N69" s="39" t="str">
        <x:v>Somme</x:v>
      </x:c>
      <x:c r="O69" s="39" t="str">
        <x:v>AUTO</x:v>
      </x:c>
      <x:c r="P69" s="39" t="str">
        <x:v>Annuelle</x:v>
      </x:c>
      <x:c r="Q69" s="39" t="str">
        <x:v>Élevée</x:v>
      </x:c>
      <x:c r="R69" s="39" t="str">
        <x:v>fact_anc_controle</x:v>
      </x:c>
      <x:c r="S69" s="39" t="str"/>
      <x:c r="T69" s="39" t="str">
        <x:v>https://www.services.eaufrance.fr/liste-des-variables-d-assainissement-non-collectif</x:v>
      </x:c>
    </x:row>
    <x:row r="70">
      <x:c r="A70" s="39" t="str">
        <x:v>ANC_012</x:v>
      </x:c>
      <x:c r="B70" s="39" t="str">
        <x:v>Assainissement non collectif</x:v>
      </x:c>
      <x:c r="C70" s="39" t="str">
        <x:v>SPANC</x:v>
      </x:c>
      <x:c r="D70" s="39" t="str">
        <x:v>Nombre de contrôles par SPANC/EPCI</x:v>
      </x:c>
      <x:c r="E70" s="39" t="str">
        <x:v>Donnée annuelle</x:v>
      </x:c>
      <x:c r="F70" s="39" t="str">
        <x:v>contrôles/an</x:v>
      </x:c>
      <x:c r="G70" s="39" t="str">
        <x:v>SPANC / EPCI</x:v>
      </x:c>
      <x:c r="H70" s="39" t="str">
        <x:v>29</x:v>
      </x:c>
      <x:c r="I70" s="39" t="str">
        <x:v>Graphique détaillé 2020-2021 ; pas de détail EPCI 2022 dans le PDF</x:v>
      </x:c>
      <x:c r="J70" s="39" t="str">
        <x:v>SPANC</x:v>
      </x:c>
      <x:c r="K70" s="39" t="str">
        <x:v>SISPEA ANC</x:v>
      </x:c>
      <x:c r="L70" s="39" t="str">
        <x:v>DC.332/DC.333/VP.334</x:v>
      </x:c>
      <x:c r="M70" s="39" t="str">
        <x:v>Somme des types de contrôle retenus</x:v>
      </x:c>
      <x:c r="N70" s="39" t="str">
        <x:v>Somme</x:v>
      </x:c>
      <x:c r="O70" s="39" t="str">
        <x:v>AUTO/SEMI-AUTO</x:v>
      </x:c>
      <x:c r="P70" s="39" t="str">
        <x:v>Annuelle</x:v>
      </x:c>
      <x:c r="Q70" s="39" t="str">
        <x:v>Moyenne</x:v>
      </x:c>
      <x:c r="R70" s="39" t="str">
        <x:v>fact_anc_controle</x:v>
      </x:c>
      <x:c r="S70" s="39" t="str">
        <x:v>Définir quels contrôles sont additionnés pour reproduire le graphique.</x:v>
      </x:c>
      <x:c r="T70" s="39" t="str">
        <x:v>https://www.services.eaufrance.fr/liste-des-variables-d-assainissement-non-collectif</x:v>
      </x:c>
    </x:row>
    <x:row r="71">
      <x:c r="A71" s="39" t="str">
        <x:v>ANC_013</x:v>
      </x:c>
      <x:c r="B71" s="39" t="str">
        <x:v>Assainissement non collectif</x:v>
      </x:c>
      <x:c r="C71" s="39" t="str">
        <x:v>Conformité</x:v>
      </x:c>
      <x:c r="D71" s="39" t="str">
        <x:v>Taux de conformité des dispositifs ANC</x:v>
      </x:c>
      <x:c r="E71" s="39" t="str">
        <x:v>Indicateur réglementaire annuel</x:v>
      </x:c>
      <x:c r="F71" s="39" t="str">
        <x:v>%</x:v>
      </x:c>
      <x:c r="G71" s="39" t="str">
        <x:v>SPANC / EPCI / Martinique</x:v>
      </x:c>
      <x:c r="H71" s="39" t="str">
        <x:v>Non affiché directement dans le rapport 2022, mais nécessaire à la future base</x:v>
      </x:c>
      <x:c r="I71" s="39" t="str">
        <x:v>—</x:v>
      </x:c>
      <x:c r="J71" s="39" t="str">
        <x:v>SISPEA ANC</x:v>
      </x:c>
      <x:c r="K71" s="39" t="str">
        <x:v>P301.3 ; VP.166 ; VP.267 ; VP.167</x:v>
      </x:c>
      <x:c r="L71" s="39" t="str">
        <x:v>(VP.166 + VP.267) / VP.167 ×100 selon règle en vigueur</x:v>
      </x:c>
      <x:c r="M71" s="39" t="str">
        <x:v>Consolider numérateurs/dénominateurs, jamais moyenne simple</x:v>
      </x:c>
      <x:c r="N71" s="39" t="str">
        <x:v>AUTO</x:v>
      </x:c>
      <x:c r="O71" s="39" t="str">
        <x:v>Annuelle</x:v>
      </x:c>
      <x:c r="P71" s="39" t="str">
        <x:v>Élevée</x:v>
      </x:c>
      <x:c r="Q71" s="39" t="str">
        <x:v>fact_anc</x:v>
      </x:c>
      <x:c r="R71" s="39" t="str">
        <x:v>Ajout indispensable pour les éditions futures et cohérent avec l'objectif de base annuelle.</x:v>
      </x:c>
      <x:c r="S71" s="39" t="str">
        <x:v>https://services.eaufrance.fr/indicateurs/P301.3</x:v>
      </x:c>
      <x:c r="T71" s="39"/>
    </x:row>
    <x:row r="72">
      <x:c r="A72" s="39" t="str">
        <x:v>ANC_014</x:v>
      </x:c>
      <x:c r="B72" s="39" t="str">
        <x:v>Assainissement non collectif</x:v>
      </x:c>
      <x:c r="C72" s="39" t="str">
        <x:v>Coûts</x:v>
      </x:c>
      <x:c r="D72" s="39" t="str">
        <x:v>Coût moyen / fourchette d'une vidange ANC</x:v>
      </x:c>
      <x:c r="E72" s="39" t="str">
        <x:v>Référence d'étude</x:v>
      </x:c>
      <x:c r="F72" s="39" t="str">
        <x:v>€</x:v>
      </x:c>
      <x:c r="G72" s="39" t="str">
        <x:v>Territoire</x:v>
      </x:c>
      <x:c r="H72" s="39" t="str">
        <x:v>30</x:v>
      </x:c>
      <x:c r="I72" s="39" t="str">
        <x:v>Martinique 500–700 € ; Guadeloupe 300–450 € ; France 150–300 €</x:v>
      </x:c>
      <x:c r="J72" s="39" t="str">
        <x:v>Étude ODE 2020</x:v>
      </x:c>
      <x:c r="K72" s="39" t="str">
        <x:v>Étude ODE à actualiser ponctuellement</x:v>
      </x:c>
      <x:c r="L72" s="39" t="str">
        <x:v>—</x:v>
      </x:c>
      <x:c r="M72" s="39" t="str">
        <x:v>Aucun calcul annuel automatique</x:v>
      </x:c>
      <x:c r="N72" s="39" t="str">
        <x:v>Non agrégé</x:v>
      </x:c>
      <x:c r="O72" s="39" t="str">
        <x:v>MANUEL / RÉFÉRENCE</x:v>
      </x:c>
      <x:c r="P72" s="39" t="str">
        <x:v>Ponctuelle</x:v>
      </x:c>
      <x:c r="Q72" s="39" t="str">
        <x:v>Élevée pour 2020</x:v>
      </x:c>
      <x:c r="R72" s="39" t="str">
        <x:v>dim_reference</x:v>
      </x:c>
      <x:c r="S72" s="39" t="str">
        <x:v>Ne pas présenter comme série annuelle sans nouvelle enquête.</x:v>
      </x:c>
      <x:c r="T72" s="39" t="str"/>
    </x:row>
    <x:row r="73">
      <x:c r="A73" s="39" t="str">
        <x:v>ANC_015</x:v>
      </x:c>
      <x:c r="B73" s="39" t="str">
        <x:v>Assainissement non collectif</x:v>
      </x:c>
      <x:c r="C73" s="39" t="str">
        <x:v>Vidangeurs</x:v>
      </x:c>
      <x:c r="D73" s="39" t="str">
        <x:v>Nombre d'entreprises de vidange agréées</x:v>
      </x:c>
      <x:c r="E73" s="39" t="str">
        <x:v>Donnée réglementaire évolutive</x:v>
      </x:c>
      <x:c r="F73" s="39" t="str">
        <x:v>nb</x:v>
      </x:c>
      <x:c r="G73" s="39" t="str">
        <x:v>Entreprise / Martinique</x:v>
      </x:c>
      <x:c r="H73" s="39" t="str">
        <x:v>30</x:v>
      </x:c>
      <x:c r="I73" s="39" t="str">
        <x:v>16</x:v>
      </x:c>
      <x:c r="J73" s="39" t="str">
        <x:v>DEAL</x:v>
      </x:c>
      <x:c r="K73" s="39" t="str">
        <x:v>DEAL Martinique</x:v>
      </x:c>
      <x:c r="L73" s="39" t="str">
        <x:v>—</x:v>
      </x:c>
      <x:c r="M73" s="39" t="str">
        <x:v>Comptage des agréments actifs à une date de référence</x:v>
      </x:c>
      <x:c r="N73" s="39" t="str">
        <x:v>Somme</x:v>
      </x:c>
      <x:c r="O73" s="39" t="str">
        <x:v>SEMI-AUTO</x:v>
      </x:c>
      <x:c r="P73" s="39" t="str">
        <x:v>Annuelle</x:v>
      </x:c>
      <x:c r="Q73" s="39" t="str">
        <x:v>Élevée</x:v>
      </x:c>
      <x:c r="R73" s="39" t="str">
        <x:v>dim_entreprise_agreee</x:v>
      </x:c>
      <x:c r="S73" s="39" t="str">
        <x:v>Source DEAL désormais publiée et actualisée en ligne.</x:v>
      </x:c>
      <x:c r="T73" s="39" t="str">
        <x:v>https://www.martinique.developpement-durable.gouv.fr/liste-des-vidangeurs-des-anc-agrees-en-martinique-a2410.html</x:v>
      </x:c>
    </x:row>
    <x:row r="74">
      <x:c r="A74" s="39" t="str">
        <x:v>TAR_001</x:v>
      </x:c>
      <x:c r="B74" s="39" t="str">
        <x:v>Tarifs</x:v>
      </x:c>
      <x:c r="C74" s="39" t="str">
        <x:v>Eau potable</x:v>
      </x:c>
      <x:c r="D74" s="39" t="str">
        <x:v>Prix moyen TTC du m³ d'eau potable pour une facture 120 m³</x:v>
      </x:c>
      <x:c r="E74" s="39" t="str">
        <x:v>Indicateur réglementaire annuel</x:v>
      </x:c>
      <x:c r="F74" s="39" t="str">
        <x:v>€/m³</x:v>
      </x:c>
      <x:c r="G74" s="39" t="str">
        <x:v>Service / EPCI / Martinique</x:v>
      </x:c>
      <x:c r="H74" s="39" t="str">
        <x:v>31</x:v>
      </x:c>
      <x:c r="I74" s="39" t="str">
        <x:v>2,83 €/m³ ; national 2,21 €/m³</x:v>
      </x:c>
      <x:c r="J74" s="39" t="str">
        <x:v>Factures types / SISPEA</x:v>
      </x:c>
      <x:c r="K74" s="39" t="str">
        <x:v>SISPEA tarifs</x:v>
      </x:c>
      <x:c r="L74" s="39" t="str">
        <x:v>D102.0</x:v>
      </x:c>
      <x:c r="M74" s="39" t="str">
        <x:v>Montant TTC facture 120 m³ / 120 ; consolidation territoriale à définir selon population/abonnés</x:v>
      </x:c>
      <x:c r="N74" s="39" t="str">
        <x:v>Ne jamais moyenne simple des services sans règle publiée</x:v>
      </x:c>
      <x:c r="O74" s="39" t="str">
        <x:v>AUTO</x:v>
      </x:c>
      <x:c r="P74" s="39" t="str">
        <x:v>Annuelle</x:v>
      </x:c>
      <x:c r="Q74" s="39" t="str">
        <x:v>Élevée</x:v>
      </x:c>
      <x:c r="R74" s="39" t="str">
        <x:v>fact_tarif</x:v>
      </x:c>
      <x:c r="S74" s="39" t="str">
        <x:v>Attention : prix de l'exercice N = tarif au 1er janvier N+1 dans SISPEA.</x:v>
      </x:c>
      <x:c r="T74" s="39" t="str">
        <x:v>https://services.eaufrance.fr/indicateurs/D102.0</x:v>
      </x:c>
    </x:row>
    <x:row r="75">
      <x:c r="A75" s="39" t="str">
        <x:v>TAR_002</x:v>
      </x:c>
      <x:c r="B75" s="39" t="str">
        <x:v>Tarifs</x:v>
      </x:c>
      <x:c r="C75" s="39" t="str">
        <x:v>Eau potable</x:v>
      </x:c>
      <x:c r="D75" s="39" t="str">
        <x:v>Montant annuel d'une facture type 120 m³ d'eau potable</x:v>
      </x:c>
      <x:c r="E75" s="39" t="str">
        <x:v>Indicateur annuel</x:v>
      </x:c>
      <x:c r="F75" s="39" t="str">
        <x:v>€/an</x:v>
      </x:c>
      <x:c r="G75" s="39" t="str">
        <x:v>Service / Martinique</x:v>
      </x:c>
      <x:c r="H75" s="39" t="str">
        <x:v>31</x:v>
      </x:c>
      <x:c r="I75" s="39" t="str">
        <x:v>339,17 €/an</x:v>
      </x:c>
      <x:c r="J75" s="39" t="str">
        <x:v>Facture type</x:v>
      </x:c>
      <x:c r="K75" s="39" t="str">
        <x:v>SISPEA tarifs</x:v>
      </x:c>
      <x:c r="L75" s="39" t="str">
        <x:v>VP.177/178/179 + TVA</x:v>
      </x:c>
      <x:c r="M75" s="39" t="str">
        <x:v>Somme de toutes les composantes de la facture 120 m³</x:v>
      </x:c>
      <x:c r="N75" s="39" t="str">
        <x:v>Agrégation selon méthode tarifaire ODE</x:v>
      </x:c>
      <x:c r="O75" s="39" t="str">
        <x:v>AUTO + calcul</x:v>
      </x:c>
      <x:c r="P75" s="39" t="str">
        <x:v>Annuelle</x:v>
      </x:c>
      <x:c r="Q75" s="39" t="str">
        <x:v>Élevée</x:v>
      </x:c>
      <x:c r="R75" s="39" t="str">
        <x:v>fact_tarif</x:v>
      </x:c>
      <x:c r="S75" s="39" t="str"/>
      <x:c r="T75" s="39" t="str">
        <x:v>https://www.services.eaufrance.fr/pro/telechargement</x:v>
      </x:c>
    </x:row>
    <x:row r="76">
      <x:c r="A76" s="39" t="str">
        <x:v>TAR_003</x:v>
      </x:c>
      <x:c r="B76" s="39" t="str">
        <x:v>Tarifs</x:v>
      </x:c>
      <x:c r="C76" s="39" t="str">
        <x:v>Eau potable</x:v>
      </x:c>
      <x:c r="D76" s="39" t="str">
        <x:v>Montant mensuel équivalent d'une facture type 120 m³</x:v>
      </x:c>
      <x:c r="E76" s="39" t="str">
        <x:v>Indicateur dérivé</x:v>
      </x:c>
      <x:c r="F76" s="39" t="str">
        <x:v>€/mois</x:v>
      </x:c>
      <x:c r="G76" s="39" t="str">
        <x:v>Martinique</x:v>
      </x:c>
      <x:c r="H76" s="39" t="str">
        <x:v>31</x:v>
      </x:c>
      <x:c r="I76" s="39" t="str">
        <x:v>28,26 €/mois</x:v>
      </x:c>
      <x:c r="J76" s="39" t="str">
        <x:v>Calcul ODE</x:v>
      </x:c>
      <x:c r="K76" s="39" t="str">
        <x:v>Calcul interne</x:v>
      </x:c>
      <x:c r="L76" s="39" t="str">
        <x:v>—</x:v>
      </x:c>
      <x:c r="M76" s="39" t="str">
        <x:v>Montant annuel / 12</x:v>
      </x:c>
      <x:c r="N76" s="39" t="str">
        <x:v>Non applicable</x:v>
      </x:c>
      <x:c r="O76" s="39" t="str">
        <x:v>AUTO + calcul</x:v>
      </x:c>
      <x:c r="P76" s="39" t="str">
        <x:v>Annuelle</x:v>
      </x:c>
      <x:c r="Q76" s="39" t="str">
        <x:v>Élevée</x:v>
      </x:c>
      <x:c r="R76" s="39" t="str">
        <x:v>fact_indicateur</x:v>
      </x:c>
      <x:c r="S76" s="39" t="str"/>
      <x:c r="T76" s="39" t="str"/>
    </x:row>
    <x:row r="77">
      <x:c r="A77" s="39" t="str">
        <x:v>TAR_004</x:v>
      </x:c>
      <x:c r="B77" s="39" t="str">
        <x:v>Tarifs</x:v>
      </x:c>
      <x:c r="C77" s="39" t="str">
        <x:v>Eau potable</x:v>
      </x:c>
      <x:c r="D77" s="39" t="str">
        <x:v>Décomposition de la facture EP : abonnement / consommation / redevance ODE / TVA-ODM</x:v>
      </x:c>
      <x:c r="E77" s="39" t="str">
        <x:v>Indicateur dérivé de structure</x:v>
      </x:c>
      <x:c r="F77" s="39" t="str">
        <x:v>%</x:v>
      </x:c>
      <x:c r="G77" s="39" t="str">
        <x:v>Martinique</x:v>
      </x:c>
      <x:c r="H77" s="39" t="str">
        <x:v>31</x:v>
      </x:c>
      <x:c r="I77" s="39" t="str">
        <x:v>20 % / 65 % / 11 % / 4 %</x:v>
      </x:c>
      <x:c r="J77" s="39" t="str">
        <x:v>Factures types</x:v>
      </x:c>
      <x:c r="K77" s="39" t="str">
        <x:v>SISPEA tarifs + règles locales redevances</x:v>
      </x:c>
      <x:c r="L77" s="39" t="str">
        <x:v>VP.177, VP.178, VP.190, VP.191, VP.179, VP.213, VP.214-216, VP.219</x:v>
      </x:c>
      <x:c r="M77" s="39" t="str">
        <x:v>Montant composante / total TTC ×100</x:v>
      </x:c>
      <x:c r="N77" s="39" t="str">
        <x:v>Somme des montants par famille avant ratio</x:v>
      </x:c>
      <x:c r="O77" s="39" t="str">
        <x:v>AUTO + calcul</x:v>
      </x:c>
      <x:c r="P77" s="39" t="str">
        <x:v>Annuelle</x:v>
      </x:c>
      <x:c r="Q77" s="39" t="str">
        <x:v>Moyenne à élevée</x:v>
      </x:c>
      <x:c r="R77" s="39" t="str">
        <x:v>fact_tarif_composante</x:v>
      </x:c>
      <x:c r="S77" s="39" t="str">
        <x:v>La réforme des redevances impose une table normalisée des composantes, non des colonnes fixes.</x:v>
      </x:c>
      <x:c r="T77" s="39" t="str">
        <x:v>https://www.services.eaufrance.fr/les-variables-de-performance-des-services-d-eau-potable</x:v>
      </x:c>
    </x:row>
    <x:row r="78">
      <x:c r="A78" s="39" t="str">
        <x:v>TAR_005</x:v>
      </x:c>
      <x:c r="B78" s="39" t="str">
        <x:v>Tarifs</x:v>
      </x:c>
      <x:c r="C78" s="39" t="str">
        <x:v>Eau + assainissement</x:v>
      </x:c>
      <x:c r="D78" s="39" t="str">
        <x:v>Prix moyen TTC du m³ EP + AC pour 120 m³</x:v>
      </x:c>
      <x:c r="E78" s="39" t="str">
        <x:v>Indicateur annuel calculé</x:v>
      </x:c>
      <x:c r="F78" s="39" t="str">
        <x:v>€/m³</x:v>
      </x:c>
      <x:c r="G78" s="39" t="str">
        <x:v>Martinique</x:v>
      </x:c>
      <x:c r="H78" s="39" t="str">
        <x:v>31</x:v>
      </x:c>
      <x:c r="I78" s="39" t="str">
        <x:v>5,91 €/m³ ; national 4,52 €/m³</x:v>
      </x:c>
      <x:c r="J78" s="39" t="str">
        <x:v>Factures types / SISPEA</x:v>
      </x:c>
      <x:c r="K78" s="39" t="str">
        <x:v>SISPEA EP + AC tarifs</x:v>
      </x:c>
      <x:c r="L78" s="39" t="str">
        <x:v>D102.0 + D204.0</x:v>
      </x:c>
      <x:c r="M78" s="39" t="str">
        <x:v>Prix EP + prix AC sur périmètres raccordés, selon méthode de pondération ODE</x:v>
      </x:c>
      <x:c r="N78" s="39" t="str">
        <x:v>Pondération territoriale à documenter</x:v>
      </x:c>
      <x:c r="O78" s="39" t="str">
        <x:v>AUTO + calcul</x:v>
      </x:c>
      <x:c r="P78" s="39" t="str">
        <x:v>Annuelle</x:v>
      </x:c>
      <x:c r="Q78" s="39" t="str">
        <x:v>Moyenne</x:v>
      </x:c>
      <x:c r="R78" s="39" t="str">
        <x:v>fact_tarif</x:v>
      </x:c>
      <x:c r="S78" s="39" t="str">
        <x:v>Le total combiné dépend du périmètre des abonnés raccordés à l'AC.</x:v>
      </x:c>
      <x:c r="T78" s="39" t="str">
        <x:v>https://services.eaufrance.fr/indicateurs/D204.0</x:v>
      </x:c>
    </x:row>
    <x:row r="79">
      <x:c r="A79" s="39" t="str">
        <x:v>TAR_006</x:v>
      </x:c>
      <x:c r="B79" s="39" t="str">
        <x:v>Tarifs</x:v>
      </x:c>
      <x:c r="C79" s="39" t="str">
        <x:v>Eau + assainissement</x:v>
      </x:c>
      <x:c r="D79" s="39" t="str">
        <x:v>Montant annuel facture type EP + AC 120 m³</x:v>
      </x:c>
      <x:c r="E79" s="39" t="str">
        <x:v>Indicateur annuel</x:v>
      </x:c>
      <x:c r="F79" s="39" t="str">
        <x:v>€/an</x:v>
      </x:c>
      <x:c r="G79" s="39" t="str">
        <x:v>Martinique</x:v>
      </x:c>
      <x:c r="H79" s="39" t="str">
        <x:v>31</x:v>
      </x:c>
      <x:c r="I79" s="39" t="str">
        <x:v>708,58 €/an</x:v>
      </x:c>
      <x:c r="J79" s="39" t="str">
        <x:v>Facture type</x:v>
      </x:c>
      <x:c r="K79" s="39" t="str">
        <x:v>SISPEA tarifs EP + AC</x:v>
      </x:c>
      <x:c r="L79" s="39" t="str">
        <x:v>—</x:v>
      </x:c>
      <x:c r="M79" s="39" t="str">
        <x:v>120 × prix combiné ou somme des factures types</x:v>
      </x:c>
      <x:c r="N79" s="39" t="str">
        <x:v>Selon méthode ODE</x:v>
      </x:c>
      <x:c r="O79" s="39" t="str">
        <x:v>AUTO + calcul</x:v>
      </x:c>
      <x:c r="P79" s="39" t="str">
        <x:v>Annuelle</x:v>
      </x:c>
      <x:c r="Q79" s="39" t="str">
        <x:v>Moyenne</x:v>
      </x:c>
      <x:c r="R79" s="39" t="str">
        <x:v>fact_tarif</x:v>
      </x:c>
      <x:c r="S79" s="39" t="str"/>
      <x:c r="T79" s="39" t="str">
        <x:v>https://www.services.eaufrance.fr/pro/telechargement</x:v>
      </x:c>
    </x:row>
    <x:row r="80">
      <x:c r="A80" s="39" t="str">
        <x:v>TAR_007</x:v>
      </x:c>
      <x:c r="B80" s="39" t="str">
        <x:v>Tarifs</x:v>
      </x:c>
      <x:c r="C80" s="39" t="str">
        <x:v>Eau + assainissement</x:v>
      </x:c>
      <x:c r="D80" s="39" t="str">
        <x:v>Montant mensuel équivalent EP + AC</x:v>
      </x:c>
      <x:c r="E80" s="39" t="str">
        <x:v>Indicateur dérivé</x:v>
      </x:c>
      <x:c r="F80" s="39" t="str">
        <x:v>€/mois</x:v>
      </x:c>
      <x:c r="G80" s="39" t="str">
        <x:v>Martinique</x:v>
      </x:c>
      <x:c r="H80" s="39" t="str">
        <x:v>31</x:v>
      </x:c>
      <x:c r="I80" s="39" t="str">
        <x:v>59,04 €/mois</x:v>
      </x:c>
      <x:c r="J80" s="39" t="str">
        <x:v>Calcul ODE</x:v>
      </x:c>
      <x:c r="K80" s="39" t="str">
        <x:v>Calcul interne</x:v>
      </x:c>
      <x:c r="L80" s="39" t="str">
        <x:v>—</x:v>
      </x:c>
      <x:c r="M80" s="39" t="str">
        <x:v>Montant annuel /12</x:v>
      </x:c>
      <x:c r="N80" s="39" t="str">
        <x:v>Non applicable</x:v>
      </x:c>
      <x:c r="O80" s="39" t="str">
        <x:v>AUTO + calcul</x:v>
      </x:c>
      <x:c r="P80" s="39" t="str">
        <x:v>Annuelle</x:v>
      </x:c>
      <x:c r="Q80" s="39" t="str">
        <x:v>Élevée</x:v>
      </x:c>
      <x:c r="R80" s="39" t="str">
        <x:v>fact_indicateur</x:v>
      </x:c>
      <x:c r="S80" s="39" t="str"/>
      <x:c r="T80" s="39" t="str"/>
    </x:row>
    <x:row r="81">
      <x:c r="A81" s="39" t="str">
        <x:v>TAR_008</x:v>
      </x:c>
      <x:c r="B81" s="39" t="str">
        <x:v>Tarifs</x:v>
      </x:c>
      <x:c r="C81" s="39" t="str">
        <x:v>Eau + assainissement</x:v>
      </x:c>
      <x:c r="D81" s="39" t="str">
        <x:v>Décomposition facture EP+AC : EP / AC / redevance ODE / TVA-ODM</x:v>
      </x:c>
      <x:c r="E81" s="39" t="str">
        <x:v>Indicateur dérivé de structure</x:v>
      </x:c>
      <x:c r="F81" s="39" t="str">
        <x:v>%</x:v>
      </x:c>
      <x:c r="G81" s="39" t="str">
        <x:v>Martinique</x:v>
      </x:c>
      <x:c r="H81" s="39" t="str">
        <x:v>31</x:v>
      </x:c>
      <x:c r="I81" s="39" t="str">
        <x:v>40 % / 49 % / 8 % / 3 %</x:v>
      </x:c>
      <x:c r="J81" s="39" t="str">
        <x:v>Factures types</x:v>
      </x:c>
      <x:c r="K81" s="39" t="str">
        <x:v>SISPEA tarifs + règles locales redevances</x:v>
      </x:c>
      <x:c r="L81" s="39" t="str">
        <x:v>Variables tarifaires EP et AC</x:v>
      </x:c>
      <x:c r="M81" s="39" t="str">
        <x:v>Montant de chaque famille / total TTC ×100</x:v>
      </x:c>
      <x:c r="N81" s="39" t="str">
        <x:v>Somme des montants par famille avant ratio</x:v>
      </x:c>
      <x:c r="O81" s="39" t="str">
        <x:v>AUTO + calcul</x:v>
      </x:c>
      <x:c r="P81" s="39" t="str">
        <x:v>Annuelle</x:v>
      </x:c>
      <x:c r="Q81" s="39" t="str">
        <x:v>Moyenne à élevée</x:v>
      </x:c>
      <x:c r="R81" s="39" t="str">
        <x:v>fact_tarif_composante</x:v>
      </x:c>
      <x:c r="S81" s="39" t="str"/>
      <x:c r="T81" s="39" t="str">
        <x:v>https://www.services.eaufrance.fr/pro/telechargement</x:v>
      </x:c>
    </x:row>
  </x:sheetData>
  <x:conditionalFormatting sqref="O2:O81">
    <x:cfRule type="expression" dxfId="0" priority="1">
      <x:formula>ISNUMBER(SEARCH("MANUEL",O2))</x:formula>
    </x:cfRule>
    <x:cfRule type="expression" dxfId="1" priority="2">
      <x:formula>ISNUMBER(SEARCH("SEMI-AUTO",O2))</x:formula>
    </x:cfRule>
    <x:cfRule type="expression" dxfId="2" priority="3">
      <x:formula>ISNUMBER(SEARCH("AUTO",O2))</x:formula>
    </x:cfRule>
  </x:conditionalFormatting>
  <x:conditionalFormatting sqref="Q2:Q81">
    <x:cfRule type="expression" dxfId="3" priority="4">
      <x:formula>Q2="Faible"</x:formula>
    </x:cfRule>
    <x:cfRule type="expression" dxfId="4" priority="5">
      <x:formula>Q2="Moyenne"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a31be51e404b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30" hidden="0" customWidth="1"/>
    <x:col min="4" max="4" width="18" hidden="0" customWidth="1"/>
    <x:col min="5" max="5" width="14" hidden="0" customWidth="1"/>
    <x:col min="6" max="6" width="12" hidden="0" customWidth="1"/>
    <x:col min="7" max="7" width="24" hidden="0" customWidth="1"/>
    <x:col min="8" max="8" width="44" hidden="0" customWidth="1"/>
  </x:cols>
  <x:sheetData>
    <x:row r="1">
      <x:c r="A1" s="42" t="str">
        <x:v>ID indicateur</x:v>
      </x:c>
      <x:c r="B1" s="42" t="str">
        <x:v>Année référence</x:v>
      </x:c>
      <x:c r="C1" s="42" t="str">
        <x:v>Territoire / objet</x:v>
      </x:c>
      <x:c r="D1" s="42" t="str">
        <x:v>Valeur rapport</x:v>
      </x:c>
      <x:c r="E1" s="42" t="str">
        <x:v>Unité</x:v>
      </x:c>
      <x:c r="F1" s="42" t="str">
        <x:v>Page(s)</x:v>
      </x:c>
      <x:c r="G1" s="42" t="str">
        <x:v>Source du rapport</x:v>
      </x:c>
      <x:c r="H1" s="42" t="str">
        <x:v>Note</x:v>
      </x:c>
    </x:row>
    <x:row r="2">
      <x:c r="A2" s="39" t="str">
        <x:v>RES_001</x:v>
      </x:c>
      <x:c r="B2" s="58" t="n">
        <x:v>2022</x:v>
      </x:c>
      <x:c r="C2" s="39" t="str">
        <x:v>Martinique</x:v>
      </x:c>
      <x:c r="D2" s="39" t="n">
        <x:v>71</x:v>
      </x:c>
      <x:c r="E2" s="39" t="str">
        <x:v>%</x:v>
      </x:c>
      <x:c r="F2" s="39" t="str">
        <x:v>6</x:v>
      </x:c>
      <x:c r="G2" s="39" t="str">
        <x:v>ODE, BNPE</x:v>
      </x:c>
      <x:c r="H2" s="39" t="str">
        <x:v>Part AEP dans les prélèvements</x:v>
      </x:c>
    </x:row>
    <x:row r="3">
      <x:c r="A3" s="39" t="str">
        <x:v>RES_001</x:v>
      </x:c>
      <x:c r="B3" s="58" t="n">
        <x:v>2022</x:v>
      </x:c>
      <x:c r="C3" s="39" t="str">
        <x:v>France</x:v>
      </x:c>
      <x:c r="D3" s="39" t="n">
        <x:v>37</x:v>
      </x:c>
      <x:c r="E3" s="39" t="str">
        <x:v>%</x:v>
      </x:c>
      <x:c r="F3" s="39" t="str">
        <x:v>6</x:v>
      </x:c>
      <x:c r="G3" s="39" t="str">
        <x:v>ODE, BNPE</x:v>
      </x:c>
      <x:c r="H3" s="39" t="str">
        <x:v>Référence nationale du rapport</x:v>
      </x:c>
    </x:row>
    <x:row r="4">
      <x:c r="A4" s="39" t="str">
        <x:v>RES_002</x:v>
      </x:c>
      <x:c r="B4" s="58" t="n">
        <x:v>2022</x:v>
      </x:c>
      <x:c r="C4" s="39" t="str">
        <x:v>Martinique</x:v>
      </x:c>
      <x:c r="D4" s="39" t="n">
        <x:v>26</x:v>
      </x:c>
      <x:c r="E4" s="39" t="str">
        <x:v>%</x:v>
      </x:c>
      <x:c r="F4" s="39" t="str">
        <x:v>6</x:v>
      </x:c>
      <x:c r="G4" s="39" t="str">
        <x:v>ODE, BNPE</x:v>
      </x:c>
      <x:c r="H4" s="39" t="str">
        <x:v>Part agricole</x:v>
      </x:c>
    </x:row>
    <x:row r="5">
      <x:c r="A5" s="39" t="str">
        <x:v>RES_002</x:v>
      </x:c>
      <x:c r="B5" s="58" t="n">
        <x:v>2022</x:v>
      </x:c>
      <x:c r="C5" s="39" t="str">
        <x:v>France</x:v>
      </x:c>
      <x:c r="D5" s="39" t="n">
        <x:v>49</x:v>
      </x:c>
      <x:c r="E5" s="39" t="str">
        <x:v>%</x:v>
      </x:c>
      <x:c r="F5" s="39" t="str">
        <x:v>6</x:v>
      </x:c>
      <x:c r="G5" s="39" t="str">
        <x:v>ODE, BNPE</x:v>
      </x:c>
      <x:c r="H5" s="39" t="str">
        <x:v>Référence nationale du rapport</x:v>
      </x:c>
    </x:row>
    <x:row r="6">
      <x:c r="A6" s="39" t="str">
        <x:v>RES_003</x:v>
      </x:c>
      <x:c r="B6" s="58" t="n">
        <x:v>2022</x:v>
      </x:c>
      <x:c r="C6" s="39" t="str">
        <x:v>Martinique</x:v>
      </x:c>
      <x:c r="D6" s="39" t="n">
        <x:v>3</x:v>
      </x:c>
      <x:c r="E6" s="39" t="str">
        <x:v>%</x:v>
      </x:c>
      <x:c r="F6" s="39" t="str">
        <x:v>6</x:v>
      </x:c>
      <x:c r="G6" s="39" t="str">
        <x:v>ODE, BNPE</x:v>
      </x:c>
      <x:c r="H6" s="39" t="str">
        <x:v>Usage industriel</x:v>
      </x:c>
    </x:row>
    <x:row r="7">
      <x:c r="A7" s="39" t="str">
        <x:v>RES_003</x:v>
      </x:c>
      <x:c r="B7" s="58" t="n">
        <x:v>2022</x:v>
      </x:c>
      <x:c r="C7" s="39" t="str">
        <x:v>France</x:v>
      </x:c>
      <x:c r="D7" s="39" t="n">
        <x:v>14</x:v>
      </x:c>
      <x:c r="E7" s="39" t="str">
        <x:v>%</x:v>
      </x:c>
      <x:c r="F7" s="39" t="str">
        <x:v>6</x:v>
      </x:c>
      <x:c r="G7" s="39" t="str">
        <x:v>ODE, BNPE</x:v>
      </x:c>
      <x:c r="H7" s="39" t="str">
        <x:v>Référence nationale du rapport</x:v>
      </x:c>
    </x:row>
    <x:row r="8">
      <x:c r="A8" s="39" t="str">
        <x:v>RES_004</x:v>
      </x:c>
      <x:c r="B8" s="58" t="n">
        <x:v>2022</x:v>
      </x:c>
      <x:c r="C8" s="39" t="str">
        <x:v>Martinique</x:v>
      </x:c>
      <x:c r="D8" s="39" t="n">
        <x:v>94</x:v>
      </x:c>
      <x:c r="E8" s="39" t="str">
        <x:v>%</x:v>
      </x:c>
      <x:c r="F8" s="39" t="str">
        <x:v>6-7</x:v>
      </x:c>
      <x:c r="G8" s="39" t="str">
        <x:v>ODE/BNPE</x:v>
      </x:c>
      <x:c r="H8" s="39" t="str">
        <x:v>Part cours d'eau</x:v>
      </x:c>
    </x:row>
    <x:row r="9">
      <x:c r="A9" s="39" t="str">
        <x:v>RES_005</x:v>
      </x:c>
      <x:c r="B9" s="58" t="n">
        <x:v>2022</x:v>
      </x:c>
      <x:c r="C9" s="39" t="str">
        <x:v>Martinique</x:v>
      </x:c>
      <x:c r="D9" s="39" t="n">
        <x:v>6</x:v>
      </x:c>
      <x:c r="E9" s="39" t="str">
        <x:v>%</x:v>
      </x:c>
      <x:c r="F9" s="39" t="str">
        <x:v>7</x:v>
      </x:c>
      <x:c r="G9" s="39" t="str">
        <x:v>ODE</x:v>
      </x:c>
      <x:c r="H9" s="39" t="str">
        <x:v>Part sous-sol</x:v>
      </x:c>
    </x:row>
    <x:row r="10">
      <x:c r="A10" s="39" t="str">
        <x:v>RES_006</x:v>
      </x:c>
      <x:c r="B10" s="58" t="n">
        <x:v>2022</x:v>
      </x:c>
      <x:c r="C10" s="39" t="str">
        <x:v>Martinique</x:v>
      </x:c>
      <x:c r="D10" s="39" t="n">
        <x:v>58</x:v>
      </x:c>
      <x:c r="E10" s="39" t="str">
        <x:v>%</x:v>
      </x:c>
      <x:c r="F10" s="39" t="str">
        <x:v>6</x:v>
      </x:c>
      <x:c r="G10" s="39" t="str">
        <x:v>ODE/BNPE</x:v>
      </x:c>
      <x:c r="H10" s="39" t="str">
        <x:v>Lézarde + affluent Rivière Blanche</x:v>
      </x:c>
    </x:row>
    <x:row r="11">
      <x:c r="A11" s="39" t="str">
        <x:v>RES_007</x:v>
      </x:c>
      <x:c r="B11" s="58" t="n">
        <x:v>2022</x:v>
      </x:c>
      <x:c r="C11" s="39" t="str">
        <x:v>Martinique</x:v>
      </x:c>
      <x:c r="D11" s="39" t="n">
        <x:v>35</x:v>
      </x:c>
      <x:c r="E11" s="39" t="str">
        <x:v>nb</x:v>
      </x:c>
      <x:c r="F11" s="39" t="str">
        <x:v>7</x:v>
      </x:c>
      <x:c r="G11" s="39" t="str">
        <x:v>ODE/PPC</x:v>
      </x:c>
      <x:c r="H11" s="39" t="str">
        <x:v>Captages AEP</x:v>
      </x:c>
    </x:row>
    <x:row r="12">
      <x:c r="A12" s="39" t="str">
        <x:v>RES_008</x:v>
      </x:c>
      <x:c r="B12" s="58" t="n">
        <x:v>2022</x:v>
      </x:c>
      <x:c r="C12" s="39" t="str">
        <x:v>Martinique</x:v>
      </x:c>
      <x:c r="D12" s="39" t="n">
        <x:v>20</x:v>
      </x:c>
      <x:c r="E12" s="39" t="str">
        <x:v>nb</x:v>
      </x:c>
      <x:c r="F12" s="39" t="str">
        <x:v>7</x:v>
      </x:c>
      <x:c r="G12" s="39" t="str">
        <x:v>ODE</x:v>
      </x:c>
      <x:c r="H12" s="39" t="str">
        <x:v>Prises en rivière</x:v>
      </x:c>
    </x:row>
    <x:row r="13">
      <x:c r="A13" s="39" t="str">
        <x:v>RES_009</x:v>
      </x:c>
      <x:c r="B13" s="58" t="n">
        <x:v>2022</x:v>
      </x:c>
      <x:c r="C13" s="39" t="str">
        <x:v>Martinique</x:v>
      </x:c>
      <x:c r="D13" s="39" t="n">
        <x:v>15</x:v>
      </x:c>
      <x:c r="E13" s="39" t="str">
        <x:v>nb</x:v>
      </x:c>
      <x:c r="F13" s="39" t="str">
        <x:v>7</x:v>
      </x:c>
      <x:c r="G13" s="39" t="str">
        <x:v>ODE</x:v>
      </x:c>
      <x:c r="H13" s="39" t="str">
        <x:v>Captages souterrains</x:v>
      </x:c>
    </x:row>
    <x:row r="14">
      <x:c r="A14" s="39" t="str">
        <x:v>RES_010</x:v>
      </x:c>
      <x:c r="B14" s="58" t="n">
        <x:v>2022</x:v>
      </x:c>
      <x:c r="C14" s="39" t="str">
        <x:v>Martinique</x:v>
      </x:c>
      <x:c r="D14" s="39" t="n">
        <x:v>11</x:v>
      </x:c>
      <x:c r="E14" s="39" t="str">
        <x:v>nb</x:v>
      </x:c>
      <x:c r="F14" s="39" t="str">
        <x:v>7</x:v>
      </x:c>
      <x:c r="G14" s="39" t="str">
        <x:v>ODE</x:v>
      </x:c>
      <x:c r="H14" s="39" t="str">
        <x:v>Sources</x:v>
      </x:c>
    </x:row>
    <x:row r="15">
      <x:c r="A15" s="39" t="str">
        <x:v>RES_011</x:v>
      </x:c>
      <x:c r="B15" s="58" t="n">
        <x:v>2022</x:v>
      </x:c>
      <x:c r="C15" s="39" t="str">
        <x:v>Martinique</x:v>
      </x:c>
      <x:c r="D15" s="39" t="n">
        <x:v>4</x:v>
      </x:c>
      <x:c r="E15" s="39" t="str">
        <x:v>nb</x:v>
      </x:c>
      <x:c r="F15" s="39" t="str">
        <x:v>7</x:v>
      </x:c>
      <x:c r="G15" s="39" t="str">
        <x:v>ODE</x:v>
      </x:c>
      <x:c r="H15" s="39" t="str">
        <x:v>Forages</x:v>
      </x:c>
    </x:row>
    <x:row r="16">
      <x:c r="A16" s="39" t="str">
        <x:v>RES_012</x:v>
      </x:c>
      <x:c r="B16" s="58" t="n">
        <x:v>2022</x:v>
      </x:c>
      <x:c r="C16" s="39" t="str">
        <x:v>Martinique</x:v>
      </x:c>
      <x:c r="D16" s="39" t="n">
        <x:v>26</x:v>
      </x:c>
      <x:c r="E16" s="39" t="str">
        <x:v>nb</x:v>
      </x:c>
      <x:c r="F16" s="39" t="str">
        <x:v>7</x:v>
      </x:c>
      <x:c r="G16" s="39" t="str">
        <x:v>PPC</x:v>
      </x:c>
      <x:c r="H16" s="39" t="str">
        <x:v>Captages protégés</x:v>
      </x:c>
    </x:row>
    <x:row r="17">
      <x:c r="A17" s="39" t="str">
        <x:v>RES_013</x:v>
      </x:c>
      <x:c r="B17" s="58" t="n">
        <x:v>2022</x:v>
      </x:c>
      <x:c r="C17" s="39" t="str">
        <x:v>Martinique</x:v>
      </x:c>
      <x:c r="D17" s="39" t="n">
        <x:v>74</x:v>
      </x:c>
      <x:c r="E17" s="39" t="str">
        <x:v>%</x:v>
      </x:c>
      <x:c r="F17" s="39" t="str">
        <x:v>7</x:v>
      </x:c>
      <x:c r="G17" s="39" t="str">
        <x:v>PPC</x:v>
      </x:c>
      <x:c r="H17" s="39" t="str">
        <x:v>26/35</x:v>
      </x:c>
    </x:row>
    <x:row r="18">
      <x:c r="A18" s="39" t="str">
        <x:v>RES_014</x:v>
      </x:c>
      <x:c r="B18" s="58" t="n">
        <x:v>2022</x:v>
      </x:c>
      <x:c r="C18" s="39" t="str">
        <x:v>Martinique</x:v>
      </x:c>
      <x:c r="D18" s="39" t="n">
        <x:v>44771108</x:v>
      </x:c>
      <x:c r="E18" s="39" t="str">
        <x:v>m³/an</x:v>
      </x:c>
      <x:c r="F18" s="39" t="str">
        <x:v>8,12</x:v>
      </x:c>
      <x:c r="G18" s="39" t="str">
        <x:v>BNPE/ODE</x:v>
      </x:c>
      <x:c r="H18" s="39" t="str">
        <x:v>Prélèvement AEP</x:v>
      </x:c>
    </x:row>
    <x:row r="19">
      <x:c r="A19" s="39" t="str">
        <x:v>RES_015</x:v>
      </x:c>
      <x:c r="B19" s="58" t="n">
        <x:v>2022</x:v>
      </x:c>
      <x:c r="C19" s="39" t="str">
        <x:v>Martinique</x:v>
      </x:c>
      <x:c r="D19" s="39" t="n">
        <x:v>63447442</x:v>
      </x:c>
      <x:c r="E19" s="39" t="str">
        <x:v>m³/an</x:v>
      </x:c>
      <x:c r="F19" s="39" t="str">
        <x:v>12</x:v>
      </x:c>
      <x:c r="G19" s="39" t="str">
        <x:v>ODE/BNPE</x:v>
      </x:c>
      <x:c r="H19" s="39" t="str">
        <x:v>Tous prélèvements</x:v>
      </x:c>
    </x:row>
    <x:row r="20">
      <x:c r="A20" s="39" t="str">
        <x:v>RES_016</x:v>
      </x:c>
      <x:c r="B20" s="58" t="n">
        <x:v>2022</x:v>
      </x:c>
      <x:c r="C20" s="39" t="str">
        <x:v>Martinique</x:v>
      </x:c>
      <x:c r="D20" s="39" t="n">
        <x:v>16458155</x:v>
      </x:c>
      <x:c r="E20" s="39" t="str">
        <x:v>m³/an</x:v>
      </x:c>
      <x:c r="F20" s="39" t="str">
        <x:v>12</x:v>
      </x:c>
      <x:c r="G20" s="39" t="str">
        <x:v>ODE/BNPE</x:v>
      </x:c>
      <x:c r="H20" s="39" t="str">
        <x:v>Irrigation</x:v>
      </x:c>
    </x:row>
    <x:row r="21">
      <x:c r="A21" s="39" t="str">
        <x:v>RES_017</x:v>
      </x:c>
      <x:c r="B21" s="58" t="n">
        <x:v>2022</x:v>
      </x:c>
      <x:c r="C21" s="39" t="str">
        <x:v>Martinique</x:v>
      </x:c>
      <x:c r="D21" s="39" t="n">
        <x:v>2218179</x:v>
      </x:c>
      <x:c r="E21" s="39" t="str">
        <x:v>m³/an</x:v>
      </x:c>
      <x:c r="F21" s="39" t="str">
        <x:v>12</x:v>
      </x:c>
      <x:c r="G21" s="39" t="str">
        <x:v>ODE/BNPE</x:v>
      </x:c>
      <x:c r="H21" s="39" t="str">
        <x:v>Autres</x:v>
      </x:c>
    </x:row>
    <x:row r="22">
      <x:c r="A22" s="39" t="str">
        <x:v>RES_018</x:v>
      </x:c>
      <x:c r="B22" s="58" t="n">
        <x:v>2022</x:v>
      </x:c>
      <x:c r="C22" s="39" t="str">
        <x:v>Martinique</x:v>
      </x:c>
      <x:c r="D22" s="39" t="n">
        <x:v>1419.53</x:v>
      </x:c>
      <x:c r="E22" s="39" t="str">
        <x:v>L/s</x:v>
      </x:c>
      <x:c r="F22" s="39" t="str">
        <x:v>8</x:v>
      </x:c>
      <x:c r="G22" s="39" t="str">
        <x:v>Calcul ODE</x:v>
      </x:c>
      <x:c r="H22" s="39" t="str">
        <x:v>Débit équivalent</x:v>
      </x:c>
    </x:row>
    <x:row r="23">
      <x:c r="A23" s="39" t="str">
        <x:v>EP_001</x:v>
      </x:c>
      <x:c r="B23" s="58" t="n">
        <x:v>2022</x:v>
      </x:c>
      <x:c r="C23" s="39" t="str">
        <x:v>Martinique</x:v>
      </x:c>
      <x:c r="D23" s="39" t="n">
        <x:v>160</x:v>
      </x:c>
      <x:c r="E23" s="39" t="str">
        <x:v>L/j/hab</x:v>
      </x:c>
      <x:c r="F23" s="39" t="str">
        <x:v>10</x:v>
      </x:c>
      <x:c r="G23" s="39" t="str">
        <x:v>SISPEA</x:v>
      </x:c>
      <x:c r="H23" s="39" t="str">
        <x:v>Consommation moyenne</x:v>
      </x:c>
    </x:row>
    <x:row r="24">
      <x:c r="A24" s="39" t="str">
        <x:v>EP_003</x:v>
      </x:c>
      <x:c r="B24" s="58" t="n">
        <x:v>2022</x:v>
      </x:c>
      <x:c r="C24" s="39" t="str">
        <x:v>Martinique</x:v>
      </x:c>
      <x:c r="D24" s="39" t="n">
        <x:v>99.3</x:v>
      </x:c>
      <x:c r="E24" s="39" t="str">
        <x:v>%</x:v>
      </x:c>
      <x:c r="F24" s="39" t="str">
        <x:v>4</x:v>
      </x:c>
      <x:c r="G24" s="39" t="str">
        <x:v>ARS</x:v>
      </x:c>
      <x:c r="H24" s="39" t="str">
        <x:v>Synthèse Martinique</x:v>
      </x:c>
    </x:row>
    <x:row r="25">
      <x:c r="A25" s="39" t="str">
        <x:v>EP_003</x:v>
      </x:c>
      <x:c r="B25" s="58" t="n">
        <x:v>2022</x:v>
      </x:c>
      <x:c r="C25" s="39" t="str">
        <x:v>CACEM</x:v>
      </x:c>
      <x:c r="D25" s="39" t="n">
        <x:v>99.4</x:v>
      </x:c>
      <x:c r="E25" s="39" t="str">
        <x:v>%</x:v>
      </x:c>
      <x:c r="F25" s="39" t="str">
        <x:v>11</x:v>
      </x:c>
      <x:c r="G25" s="39" t="str">
        <x:v>ARS Martinique</x:v>
      </x:c>
      <x:c r="H25" s="39" t="str"/>
    </x:row>
    <x:row r="26">
      <x:c r="A26" s="39" t="str">
        <x:v>EP_003</x:v>
      </x:c>
      <x:c r="B26" s="58" t="n">
        <x:v>2022</x:v>
      </x:c>
      <x:c r="C26" s="39" t="str">
        <x:v>CAESM</x:v>
      </x:c>
      <x:c r="D26" s="39" t="n">
        <x:v>100</x:v>
      </x:c>
      <x:c r="E26" s="39" t="str">
        <x:v>%</x:v>
      </x:c>
      <x:c r="F26" s="39" t="str">
        <x:v>11</x:v>
      </x:c>
      <x:c r="G26" s="39" t="str">
        <x:v>ARS Martinique</x:v>
      </x:c>
      <x:c r="H26" s="39" t="str"/>
    </x:row>
    <x:row r="27">
      <x:c r="A27" s="39" t="str">
        <x:v>EP_003</x:v>
      </x:c>
      <x:c r="B27" s="58" t="n">
        <x:v>2022</x:v>
      </x:c>
      <x:c r="C27" s="39" t="str">
        <x:v>CAP Nord</x:v>
      </x:c>
      <x:c r="D27" s="39" t="n">
        <x:v>98.6</x:v>
      </x:c>
      <x:c r="E27" s="39" t="str">
        <x:v>%</x:v>
      </x:c>
      <x:c r="F27" s="39" t="str">
        <x:v>11</x:v>
      </x:c>
      <x:c r="G27" s="39" t="str">
        <x:v>ARS Martinique</x:v>
      </x:c>
      <x:c r="H27" s="39" t="str"/>
    </x:row>
    <x:row r="28">
      <x:c r="A28" s="39" t="str">
        <x:v>EP_004</x:v>
      </x:c>
      <x:c r="B28" s="58" t="n">
        <x:v>2022</x:v>
      </x:c>
      <x:c r="C28" s="39" t="str">
        <x:v>Martinique</x:v>
      </x:c>
      <x:c r="D28" s="39" t="n">
        <x:v>99.8</x:v>
      </x:c>
      <x:c r="E28" s="39" t="str">
        <x:v>%</x:v>
      </x:c>
      <x:c r="F28" s="39" t="str">
        <x:v>4</x:v>
      </x:c>
      <x:c r="G28" s="39" t="str">
        <x:v>ARS</x:v>
      </x:c>
      <x:c r="H28" s="39" t="str">
        <x:v>Synthèse Martinique</x:v>
      </x:c>
    </x:row>
    <x:row r="29">
      <x:c r="A29" s="39" t="str">
        <x:v>EP_004</x:v>
      </x:c>
      <x:c r="B29" s="58" t="n">
        <x:v>2022</x:v>
      </x:c>
      <x:c r="C29" s="39" t="str">
        <x:v>CACEM</x:v>
      </x:c>
      <x:c r="D29" s="39" t="n">
        <x:v>99.4</x:v>
      </x:c>
      <x:c r="E29" s="39" t="str">
        <x:v>%</x:v>
      </x:c>
      <x:c r="F29" s="39" t="str">
        <x:v>11</x:v>
      </x:c>
      <x:c r="G29" s="39" t="str">
        <x:v>ARS Martinique</x:v>
      </x:c>
      <x:c r="H29" s="39" t="str"/>
    </x:row>
    <x:row r="30">
      <x:c r="A30" s="39" t="str">
        <x:v>EP_004</x:v>
      </x:c>
      <x:c r="B30" s="58" t="n">
        <x:v>2022</x:v>
      </x:c>
      <x:c r="C30" s="39" t="str">
        <x:v>CAESM</x:v>
      </x:c>
      <x:c r="D30" s="39" t="n">
        <x:v>100</x:v>
      </x:c>
      <x:c r="E30" s="39" t="str">
        <x:v>%</x:v>
      </x:c>
      <x:c r="F30" s="39" t="str">
        <x:v>11</x:v>
      </x:c>
      <x:c r="G30" s="39" t="str">
        <x:v>ARS Martinique</x:v>
      </x:c>
      <x:c r="H30" s="39" t="str"/>
    </x:row>
    <x:row r="31">
      <x:c r="A31" s="39" t="str">
        <x:v>EP_004</x:v>
      </x:c>
      <x:c r="B31" s="58" t="n">
        <x:v>2022</x:v>
      </x:c>
      <x:c r="C31" s="39" t="str">
        <x:v>CAP Nord</x:v>
      </x:c>
      <x:c r="D31" s="39" t="n">
        <x:v>100</x:v>
      </x:c>
      <x:c r="E31" s="39" t="str">
        <x:v>%</x:v>
      </x:c>
      <x:c r="F31" s="39" t="str">
        <x:v>11</x:v>
      </x:c>
      <x:c r="G31" s="39" t="str">
        <x:v>ARS Martinique</x:v>
      </x:c>
      <x:c r="H31" s="39" t="str"/>
    </x:row>
    <x:row r="32">
      <x:c r="A32" s="39" t="str">
        <x:v>EP_005</x:v>
      </x:c>
      <x:c r="B32" s="58" t="n">
        <x:v>2020</x:v>
      </x:c>
      <x:c r="C32" s="39" t="str">
        <x:v>Martinique</x:v>
      </x:c>
      <x:c r="D32" s="39" t="n">
        <x:v>186419</x:v>
      </x:c>
      <x:c r="E32" s="39" t="str">
        <x:v>abonnés</x:v>
      </x:c>
      <x:c r="F32" s="39" t="str">
        <x:v>11</x:v>
      </x:c>
      <x:c r="G32" s="39" t="str">
        <x:v>RAD/RPQS</x:v>
      </x:c>
      <x:c r="H32" s="39" t="str"/>
    </x:row>
    <x:row r="33">
      <x:c r="A33" s="39" t="str">
        <x:v>EP_005</x:v>
      </x:c>
      <x:c r="B33" s="58" t="n">
        <x:v>2021</x:v>
      </x:c>
      <x:c r="C33" s="39" t="str">
        <x:v>Martinique</x:v>
      </x:c>
      <x:c r="D33" s="39" t="n">
        <x:v>187758</x:v>
      </x:c>
      <x:c r="E33" s="39" t="str">
        <x:v>abonnés</x:v>
      </x:c>
      <x:c r="F33" s="39" t="str">
        <x:v>11</x:v>
      </x:c>
      <x:c r="G33" s="39" t="str">
        <x:v>RAD/RPQS</x:v>
      </x:c>
      <x:c r="H33" s="39" t="str"/>
    </x:row>
    <x:row r="34">
      <x:c r="A34" s="39" t="str">
        <x:v>EP_005</x:v>
      </x:c>
      <x:c r="B34" s="58" t="n">
        <x:v>2022</x:v>
      </x:c>
      <x:c r="C34" s="39" t="str">
        <x:v>Martinique</x:v>
      </x:c>
      <x:c r="D34" s="39" t="n">
        <x:v>190066</x:v>
      </x:c>
      <x:c r="E34" s="39" t="str">
        <x:v>abonnés</x:v>
      </x:c>
      <x:c r="F34" s="39" t="str">
        <x:v>11</x:v>
      </x:c>
      <x:c r="G34" s="39" t="str">
        <x:v>RAD/RPQS</x:v>
      </x:c>
      <x:c r="H34" s="39" t="str"/>
    </x:row>
    <x:row r="35">
      <x:c r="A35" s="39" t="str">
        <x:v>EP_006</x:v>
      </x:c>
      <x:c r="B35" s="58" t="n">
        <x:v>2020</x:v>
      </x:c>
      <x:c r="C35" s="39" t="str">
        <x:v>Martinique</x:v>
      </x:c>
      <x:c r="D35" s="39" t="n">
        <x:v>20283242</x:v>
      </x:c>
      <x:c r="E35" s="39" t="str">
        <x:v>m³/an</x:v>
      </x:c>
      <x:c r="F35" s="39" t="str">
        <x:v>11</x:v>
      </x:c>
      <x:c r="G35" s="39" t="str">
        <x:v>RAD/RPQS</x:v>
      </x:c>
      <x:c r="H35" s="39" t="str"/>
    </x:row>
    <x:row r="36">
      <x:c r="A36" s="39" t="str">
        <x:v>EP_006</x:v>
      </x:c>
      <x:c r="B36" s="58" t="n">
        <x:v>2021</x:v>
      </x:c>
      <x:c r="C36" s="39" t="str">
        <x:v>Martinique</x:v>
      </x:c>
      <x:c r="D36" s="39" t="n">
        <x:v>20513558</x:v>
      </x:c>
      <x:c r="E36" s="39" t="str">
        <x:v>m³/an</x:v>
      </x:c>
      <x:c r="F36" s="39" t="str">
        <x:v>11</x:v>
      </x:c>
      <x:c r="G36" s="39" t="str">
        <x:v>RAD/RPQS</x:v>
      </x:c>
      <x:c r="H36" s="39" t="str"/>
    </x:row>
    <x:row r="37">
      <x:c r="A37" s="39" t="str">
        <x:v>EP_006</x:v>
      </x:c>
      <x:c r="B37" s="58" t="n">
        <x:v>2022</x:v>
      </x:c>
      <x:c r="C37" s="39" t="str">
        <x:v>Martinique</x:v>
      </x:c>
      <x:c r="D37" s="39" t="n">
        <x:v>21041846</x:v>
      </x:c>
      <x:c r="E37" s="39" t="str">
        <x:v>m³/an</x:v>
      </x:c>
      <x:c r="F37" s="39" t="str">
        <x:v>11</x:v>
      </x:c>
      <x:c r="G37" s="39" t="str">
        <x:v>RAD/RPQS</x:v>
      </x:c>
      <x:c r="H37" s="39" t="str"/>
    </x:row>
    <x:row r="38">
      <x:c r="A38" s="39" t="str">
        <x:v>EP_006</x:v>
      </x:c>
      <x:c r="B38" s="58" t="n">
        <x:v>2022</x:v>
      </x:c>
      <x:c r="C38" s="39" t="str">
        <x:v>CACEM</x:v>
      </x:c>
      <x:c r="D38" s="39" t="n">
        <x:v>9992628</x:v>
      </x:c>
      <x:c r="E38" s="39" t="str">
        <x:v>m³/an</x:v>
      </x:c>
      <x:c r="F38" s="39" t="str">
        <x:v>11</x:v>
      </x:c>
      <x:c r="G38" s="39" t="str">
        <x:v>RAD/RPQS</x:v>
      </x:c>
      <x:c r="H38" s="39" t="str"/>
    </x:row>
    <x:row r="39">
      <x:c r="A39" s="39" t="str">
        <x:v>EP_006</x:v>
      </x:c>
      <x:c r="B39" s="58" t="n">
        <x:v>2022</x:v>
      </x:c>
      <x:c r="C39" s="39" t="str">
        <x:v>CAP Nord</x:v>
      </x:c>
      <x:c r="D39" s="39" t="n">
        <x:v>3810481</x:v>
      </x:c>
      <x:c r="E39" s="39" t="str">
        <x:v>m³/an</x:v>
      </x:c>
      <x:c r="F39" s="39" t="str">
        <x:v>11</x:v>
      </x:c>
      <x:c r="G39" s="39" t="str">
        <x:v>RAD/RPQS</x:v>
      </x:c>
      <x:c r="H39" s="39" t="str"/>
    </x:row>
    <x:row r="40">
      <x:c r="A40" s="39" t="str">
        <x:v>EP_006</x:v>
      </x:c>
      <x:c r="B40" s="58" t="n">
        <x:v>2022</x:v>
      </x:c>
      <x:c r="C40" s="39" t="str">
        <x:v>CAESM</x:v>
      </x:c>
      <x:c r="D40" s="39" t="n">
        <x:v>7450075</x:v>
      </x:c>
      <x:c r="E40" s="39" t="str">
        <x:v>m³/an</x:v>
      </x:c>
      <x:c r="F40" s="39" t="str">
        <x:v>11</x:v>
      </x:c>
      <x:c r="G40" s="39" t="str">
        <x:v>RAD/RPQS</x:v>
      </x:c>
      <x:c r="H40" s="39" t="str"/>
    </x:row>
    <x:row r="41">
      <x:c r="A41" s="39" t="str">
        <x:v>EP_007</x:v>
      </x:c>
      <x:c r="B41" s="58" t="n">
        <x:v>2022</x:v>
      </x:c>
      <x:c r="C41" s="39" t="str">
        <x:v>Martinique</x:v>
      </x:c>
      <x:c r="D41" s="39" t="n">
        <x:v>41539655</x:v>
      </x:c>
      <x:c r="E41" s="39" t="str">
        <x:v>m³/an</x:v>
      </x:c>
      <x:c r="F41" s="39" t="str">
        <x:v>12</x:v>
      </x:c>
      <x:c r="G41" s="39" t="str">
        <x:v>ODE</x:v>
      </x:c>
      <x:c r="H41" s="39" t="str">
        <x:v>Volume produit</x:v>
      </x:c>
    </x:row>
    <x:row r="42">
      <x:c r="A42" s="39" t="str">
        <x:v>EP_008</x:v>
      </x:c>
      <x:c r="B42" s="58" t="n">
        <x:v>2022</x:v>
      </x:c>
      <x:c r="C42" s="39" t="str">
        <x:v>Martinique</x:v>
      </x:c>
      <x:c r="D42" s="39" t="n">
        <x:v>47</x:v>
      </x:c>
      <x:c r="E42" s="39" t="str">
        <x:v>%</x:v>
      </x:c>
      <x:c r="F42" s="39" t="str">
        <x:v>12</x:v>
      </x:c>
      <x:c r="G42" s="39" t="str">
        <x:v>Calcul ODE</x:v>
      </x:c>
      <x:c r="H42" s="39" t="str">
        <x:v>Part prélevée facturée</x:v>
      </x:c>
    </x:row>
    <x:row r="43">
      <x:c r="A43" s="39" t="str">
        <x:v>EP_009</x:v>
      </x:c>
      <x:c r="B43" s="58" t="n">
        <x:v>2022</x:v>
      </x:c>
      <x:c r="C43" s="39" t="str">
        <x:v>Martinique</x:v>
      </x:c>
      <x:c r="D43" s="39" t="n">
        <x:v>8</x:v>
      </x:c>
      <x:c r="E43" s="39" t="str">
        <x:v>%</x:v>
      </x:c>
      <x:c r="F43" s="39" t="str">
        <x:v>12</x:v>
      </x:c>
      <x:c r="G43" s="39" t="str">
        <x:v>Calcul ODE</x:v>
      </x:c>
      <x:c r="H43" s="39" t="str">
        <x:v>Pertes production/entretien affichées</x:v>
      </x:c>
    </x:row>
    <x:row r="44">
      <x:c r="A44" s="39" t="str">
        <x:v>EP_010</x:v>
      </x:c>
      <x:c r="B44" s="58" t="n">
        <x:v>2022</x:v>
      </x:c>
      <x:c r="C44" s="39" t="str">
        <x:v>Martinique</x:v>
      </x:c>
      <x:c r="D44" s="39" t="n">
        <x:v>49</x:v>
      </x:c>
      <x:c r="E44" s="39" t="str">
        <x:v>%</x:v>
      </x:c>
      <x:c r="F44" s="39" t="str">
        <x:v>4,12</x:v>
      </x:c>
      <x:c r="G44" s="39" t="str">
        <x:v>Calcul ODE</x:v>
      </x:c>
      <x:c r="H44" s="39" t="str">
        <x:v>Pertes réseau/volumes de service affichées</x:v>
      </x:c>
    </x:row>
    <x:row r="45">
      <x:c r="A45" s="39" t="str">
        <x:v>EP_011</x:v>
      </x:c>
      <x:c r="B45" s="58" t="n">
        <x:v>2022</x:v>
      </x:c>
      <x:c r="C45" s="39" t="str">
        <x:v>Martinique</x:v>
      </x:c>
      <x:c r="D45" s="39" t="n">
        <x:v>27</x:v>
      </x:c>
      <x:c r="E45" s="39" t="str">
        <x:v>nb</x:v>
      </x:c>
      <x:c r="F45" s="39" t="str">
        <x:v>13</x:v>
      </x:c>
      <x:c r="G45" s="39" t="str">
        <x:v>ODE</x:v>
      </x:c>
      <x:c r="H45" s="39" t="str">
        <x:v>Unités de production</x:v>
      </x:c>
    </x:row>
    <x:row r="46">
      <x:c r="A46" s="39" t="str">
        <x:v>EP_012</x:v>
      </x:c>
      <x:c r="B46" s="58" t="n">
        <x:v>2022</x:v>
      </x:c>
      <x:c r="C46" s="39" t="str">
        <x:v>Martinique</x:v>
      </x:c>
      <x:c r="D46" s="39" t="n">
        <x:v>88</x:v>
      </x:c>
      <x:c r="E46" s="39" t="str">
        <x:v>%</x:v>
      </x:c>
      <x:c r="F46" s="39" t="str">
        <x:v>13</x:v>
      </x:c>
      <x:c r="G46" s="39" t="str">
        <x:v>ODE</x:v>
      </x:c>
      <x:c r="H46" s="39" t="str">
        <x:v>5 principales usines</x:v>
      </x:c>
    </x:row>
    <x:row r="47">
      <x:c r="A47" s="39" t="str">
        <x:v>EP_013</x:v>
      </x:c>
      <x:c r="B47" s="58" t="n">
        <x:v>2022</x:v>
      </x:c>
      <x:c r="C47" s="39" t="str">
        <x:v>Rivière Blanche</x:v>
      </x:c>
      <x:c r="D47" s="39" t="n">
        <x:v>24</x:v>
      </x:c>
      <x:c r="E47" s="39" t="str">
        <x:v>%</x:v>
      </x:c>
      <x:c r="F47" s="39" t="str">
        <x:v>13</x:v>
      </x:c>
      <x:c r="G47" s="39" t="str">
        <x:v>ODE</x:v>
      </x:c>
      <x:c r="H47" s="39" t="str">
        <x:v>Part production 2022</x:v>
      </x:c>
    </x:row>
    <x:row r="48">
      <x:c r="A48" s="39" t="str">
        <x:v>EP_013</x:v>
      </x:c>
      <x:c r="B48" s="58" t="n">
        <x:v>2022</x:v>
      </x:c>
      <x:c r="C48" s="39" t="str">
        <x:v>Durand</x:v>
      </x:c>
      <x:c r="D48" s="39" t="n">
        <x:v>21</x:v>
      </x:c>
      <x:c r="E48" s="39" t="str">
        <x:v>%</x:v>
      </x:c>
      <x:c r="F48" s="39" t="str">
        <x:v>13</x:v>
      </x:c>
      <x:c r="G48" s="39" t="str">
        <x:v>ODE</x:v>
      </x:c>
      <x:c r="H48" s="39" t="str">
        <x:v>Part production 2022</x:v>
      </x:c>
    </x:row>
    <x:row r="49">
      <x:c r="A49" s="39" t="str">
        <x:v>EP_013</x:v>
      </x:c>
      <x:c r="B49" s="58" t="n">
        <x:v>2022</x:v>
      </x:c>
      <x:c r="C49" s="39" t="str">
        <x:v>Directoire</x:v>
      </x:c>
      <x:c r="D49" s="39" t="n">
        <x:v>13</x:v>
      </x:c>
      <x:c r="E49" s="39" t="str">
        <x:v>%</x:v>
      </x:c>
      <x:c r="F49" s="39" t="str">
        <x:v>13</x:v>
      </x:c>
      <x:c r="G49" s="39" t="str">
        <x:v>ODE</x:v>
      </x:c>
      <x:c r="H49" s="39" t="str">
        <x:v>Part production 2022</x:v>
      </x:c>
    </x:row>
    <x:row r="50">
      <x:c r="A50" s="39" t="str">
        <x:v>EP_013</x:v>
      </x:c>
      <x:c r="B50" s="58" t="n">
        <x:v>2022</x:v>
      </x:c>
      <x:c r="C50" s="39" t="str">
        <x:v>Didier</x:v>
      </x:c>
      <x:c r="D50" s="39" t="n">
        <x:v>13</x:v>
      </x:c>
      <x:c r="E50" s="39" t="str">
        <x:v>%</x:v>
      </x:c>
      <x:c r="F50" s="39" t="str">
        <x:v>13</x:v>
      </x:c>
      <x:c r="G50" s="39" t="str">
        <x:v>ODE</x:v>
      </x:c>
      <x:c r="H50" s="39" t="str">
        <x:v>Part production 2022</x:v>
      </x:c>
    </x:row>
    <x:row r="51">
      <x:c r="A51" s="39" t="str">
        <x:v>EP_013</x:v>
      </x:c>
      <x:c r="B51" s="58" t="n">
        <x:v>2022</x:v>
      </x:c>
      <x:c r="C51" s="39" t="str">
        <x:v>Vivé</x:v>
      </x:c>
      <x:c r="D51" s="39" t="n">
        <x:v>17</x:v>
      </x:c>
      <x:c r="E51" s="39" t="str">
        <x:v>%</x:v>
      </x:c>
      <x:c r="F51" s="39" t="str">
        <x:v>13</x:v>
      </x:c>
      <x:c r="G51" s="39" t="str">
        <x:v>ODE</x:v>
      </x:c>
      <x:c r="H51" s="39" t="str">
        <x:v>Part production 2022</x:v>
      </x:c>
    </x:row>
    <x:row r="52">
      <x:c r="A52" s="39" t="str">
        <x:v>EP_014</x:v>
      </x:c>
      <x:c r="B52" s="58" t="n">
        <x:v>2022</x:v>
      </x:c>
      <x:c r="C52" s="39" t="str">
        <x:v>Martinique</x:v>
      </x:c>
      <x:c r="D52" s="39" t="n">
        <x:v>283</x:v>
      </x:c>
      <x:c r="E52" s="39" t="str">
        <x:v>nb</x:v>
      </x:c>
      <x:c r="F52" s="39" t="str">
        <x:v>13</x:v>
      </x:c>
      <x:c r="G52" s="39" t="str">
        <x:v>ODE</x:v>
      </x:c>
      <x:c r="H52" s="39" t="str">
        <x:v>Réservoirs</x:v>
      </x:c>
    </x:row>
    <x:row r="53">
      <x:c r="A53" s="39" t="str">
        <x:v>EP_015</x:v>
      </x:c>
      <x:c r="B53" s="58" t="n">
        <x:v>2022</x:v>
      </x:c>
      <x:c r="C53" s="39" t="str">
        <x:v>Martinique</x:v>
      </x:c>
      <x:c r="D53" s="39" t="n">
        <x:v>179678</x:v>
      </x:c>
      <x:c r="E53" s="39" t="str">
        <x:v>m³</x:v>
      </x:c>
      <x:c r="F53" s="39" t="str">
        <x:v>13</x:v>
      </x:c>
      <x:c r="G53" s="39" t="str">
        <x:v>ODE</x:v>
      </x:c>
      <x:c r="H53" s="39" t="str">
        <x:v>Capacité réserves</x:v>
      </x:c>
    </x:row>
    <x:row r="54">
      <x:c r="A54" s="39" t="str">
        <x:v>EP_017</x:v>
      </x:c>
      <x:c r="B54" s="58" t="n">
        <x:v>2022</x:v>
      </x:c>
      <x:c r="C54" s="39" t="str">
        <x:v>Martinique</x:v>
      </x:c>
      <x:c r="D54" s="39" t="n">
        <x:v>3867</x:v>
      </x:c>
      <x:c r="E54" s="39" t="str">
        <x:v>km</x:v>
      </x:c>
      <x:c r="F54" s="39" t="str">
        <x:v>13</x:v>
      </x:c>
      <x:c r="G54" s="39" t="str">
        <x:v>ODE</x:v>
      </x:c>
      <x:c r="H54" s="39" t="str"/>
    </x:row>
    <x:row r="55">
      <x:c r="A55" s="39" t="str">
        <x:v>EP_017</x:v>
      </x:c>
      <x:c r="B55" s="58" t="n">
        <x:v>2022</x:v>
      </x:c>
      <x:c r="C55" s="39" t="str">
        <x:v>CAESM</x:v>
      </x:c>
      <x:c r="D55" s="39" t="n">
        <x:v>1656</x:v>
      </x:c>
      <x:c r="E55" s="39" t="str">
        <x:v>km</x:v>
      </x:c>
      <x:c r="F55" s="39" t="str">
        <x:v>13</x:v>
      </x:c>
      <x:c r="G55" s="39" t="str">
        <x:v>ODE</x:v>
      </x:c>
      <x:c r="H55" s="39" t="str"/>
    </x:row>
    <x:row r="56">
      <x:c r="A56" s="39" t="str">
        <x:v>EP_017</x:v>
      </x:c>
      <x:c r="B56" s="58" t="n">
        <x:v>2022</x:v>
      </x:c>
      <x:c r="C56" s="39" t="str">
        <x:v>CACEM</x:v>
      </x:c>
      <x:c r="D56" s="39" t="n">
        <x:v>1004</x:v>
      </x:c>
      <x:c r="E56" s="39" t="str">
        <x:v>km</x:v>
      </x:c>
      <x:c r="F56" s="39" t="str">
        <x:v>13</x:v>
      </x:c>
      <x:c r="G56" s="39" t="str">
        <x:v>ODE</x:v>
      </x:c>
      <x:c r="H56" s="39" t="str"/>
    </x:row>
    <x:row r="57">
      <x:c r="A57" s="39" t="str">
        <x:v>EP_017</x:v>
      </x:c>
      <x:c r="B57" s="58" t="n">
        <x:v>2022</x:v>
      </x:c>
      <x:c r="C57" s="39" t="str">
        <x:v>CAP Nord</x:v>
      </x:c>
      <x:c r="D57" s="39" t="n">
        <x:v>1207</x:v>
      </x:c>
      <x:c r="E57" s="39" t="str">
        <x:v>km</x:v>
      </x:c>
      <x:c r="F57" s="39" t="str">
        <x:v>13</x:v>
      </x:c>
      <x:c r="G57" s="39" t="str">
        <x:v>ODE</x:v>
      </x:c>
      <x:c r="H57" s="39" t="str"/>
    </x:row>
    <x:row r="58">
      <x:c r="A58" s="39" t="str">
        <x:v>EP_018</x:v>
      </x:c>
      <x:c r="B58" s="58" t="n">
        <x:v>2022</x:v>
      </x:c>
      <x:c r="C58" s="39" t="str">
        <x:v>Martinique - PVC</x:v>
      </x:c>
      <x:c r="D58" s="39" t="n">
        <x:v>60</x:v>
      </x:c>
      <x:c r="E58" s="39" t="str">
        <x:v>%</x:v>
      </x:c>
      <x:c r="F58" s="39" t="str">
        <x:v>13</x:v>
      </x:c>
      <x:c r="G58" s="39" t="str">
        <x:v>ODE</x:v>
      </x:c>
      <x:c r="H58" s="39" t="str"/>
    </x:row>
    <x:row r="59">
      <x:c r="A59" s="39" t="str">
        <x:v>EP_018</x:v>
      </x:c>
      <x:c r="B59" s="58" t="n">
        <x:v>2022</x:v>
      </x:c>
      <x:c r="C59" s="39" t="str">
        <x:v>Martinique - Fonte</x:v>
      </x:c>
      <x:c r="D59" s="39" t="n">
        <x:v>33</x:v>
      </x:c>
      <x:c r="E59" s="39" t="str">
        <x:v>%</x:v>
      </x:c>
      <x:c r="F59" s="39" t="str">
        <x:v>13</x:v>
      </x:c>
      <x:c r="G59" s="39" t="str">
        <x:v>ODE</x:v>
      </x:c>
      <x:c r="H59" s="39" t="str"/>
    </x:row>
    <x:row r="60">
      <x:c r="A60" s="39" t="str">
        <x:v>EP_018</x:v>
      </x:c>
      <x:c r="B60" s="58" t="n">
        <x:v>2022</x:v>
      </x:c>
      <x:c r="C60" s="39" t="str">
        <x:v>Martinique - PEHD</x:v>
      </x:c>
      <x:c r="D60" s="39" t="n">
        <x:v>7</x:v>
      </x:c>
      <x:c r="E60" s="39" t="str">
        <x:v>%</x:v>
      </x:c>
      <x:c r="F60" s="39" t="str">
        <x:v>13</x:v>
      </x:c>
      <x:c r="G60" s="39" t="str">
        <x:v>ODE</x:v>
      </x:c>
      <x:c r="H60" s="39" t="str"/>
    </x:row>
    <x:row r="61">
      <x:c r="A61" s="39" t="str">
        <x:v>EP_019</x:v>
      </x:c>
      <x:c r="B61" s="58" t="n">
        <x:v>2022</x:v>
      </x:c>
      <x:c r="C61" s="39" t="str">
        <x:v>CAESM (+ Robert/Trinité)</x:v>
      </x:c>
      <x:c r="D61" s="39" t="n">
        <x:v>81.8</x:v>
      </x:c>
      <x:c r="E61" s="39" t="str">
        <x:v>%</x:v>
      </x:c>
      <x:c r="F61" s="39" t="str">
        <x:v>14</x:v>
      </x:c>
      <x:c r="G61" s="39" t="str">
        <x:v>EauFrance</x:v>
      </x:c>
      <x:c r="H61" s="39" t="str"/>
    </x:row>
    <x:row r="62">
      <x:c r="A62" s="39" t="str">
        <x:v>EP_019</x:v>
      </x:c>
      <x:c r="B62" s="58" t="n">
        <x:v>2022</x:v>
      </x:c>
      <x:c r="C62" s="39" t="str">
        <x:v>CACEM</x:v>
      </x:c>
      <x:c r="D62" s="39" t="n">
        <x:v>64.5</x:v>
      </x:c>
      <x:c r="E62" s="39" t="str">
        <x:v>%</x:v>
      </x:c>
      <x:c r="F62" s="39" t="str">
        <x:v>14</x:v>
      </x:c>
      <x:c r="G62" s="39" t="str">
        <x:v>EauFrance</x:v>
      </x:c>
      <x:c r="H62" s="39" t="str"/>
    </x:row>
    <x:row r="63">
      <x:c r="A63" s="39" t="str">
        <x:v>EP_019</x:v>
      </x:c>
      <x:c r="B63" s="58" t="n">
        <x:v>2022</x:v>
      </x:c>
      <x:c r="C63" s="39" t="str">
        <x:v>CAP Nord</x:v>
      </x:c>
      <x:c r="D63" s="39" t="n">
        <x:v>52.4</x:v>
      </x:c>
      <x:c r="E63" s="39" t="str">
        <x:v>%</x:v>
      </x:c>
      <x:c r="F63" s="39" t="str">
        <x:v>14</x:v>
      </x:c>
      <x:c r="G63" s="39" t="str">
        <x:v>EauFrance</x:v>
      </x:c>
      <x:c r="H63" s="39" t="str"/>
    </x:row>
    <x:row r="64">
      <x:c r="A64" s="39" t="str">
        <x:v>EP_019</x:v>
      </x:c>
      <x:c r="B64" s="58" t="n">
        <x:v>2022</x:v>
      </x:c>
      <x:c r="C64" s="39" t="str">
        <x:v>France</x:v>
      </x:c>
      <x:c r="D64" s="39" t="n">
        <x:v>83.3</x:v>
      </x:c>
      <x:c r="E64" s="39" t="str">
        <x:v>%</x:v>
      </x:c>
      <x:c r="F64" s="39" t="str">
        <x:v>14</x:v>
      </x:c>
      <x:c r="G64" s="39" t="str">
        <x:v>EauFrance</x:v>
      </x:c>
      <x:c r="H64" s="39" t="str"/>
    </x:row>
    <x:row r="65">
      <x:c r="A65" s="39" t="str">
        <x:v>EP_020</x:v>
      </x:c>
      <x:c r="B65" s="58" t="n">
        <x:v>2022</x:v>
      </x:c>
      <x:c r="C65" s="39" t="str">
        <x:v>CAESM</x:v>
      </x:c>
      <x:c r="D65" s="39" t="n">
        <x:v>6.54</x:v>
      </x:c>
      <x:c r="E65" s="39" t="str">
        <x:v>m³/km/j</x:v>
      </x:c>
      <x:c r="F65" s="39" t="str">
        <x:v>14</x:v>
      </x:c>
      <x:c r="G65" s="39" t="str">
        <x:v>EauFrance</x:v>
      </x:c>
      <x:c r="H65" s="39" t="str"/>
    </x:row>
    <x:row r="66">
      <x:c r="A66" s="39" t="str">
        <x:v>EP_020</x:v>
      </x:c>
      <x:c r="B66" s="58" t="n">
        <x:v>2022</x:v>
      </x:c>
      <x:c r="C66" s="39" t="str">
        <x:v>CACEM</x:v>
      </x:c>
      <x:c r="D66" s="39" t="n">
        <x:v>21</x:v>
      </x:c>
      <x:c r="E66" s="39" t="str">
        <x:v>m³/km/j</x:v>
      </x:c>
      <x:c r="F66" s="39" t="str">
        <x:v>14</x:v>
      </x:c>
      <x:c r="G66" s="39" t="str">
        <x:v>EauFrance</x:v>
      </x:c>
      <x:c r="H66" s="39" t="str"/>
    </x:row>
    <x:row r="67">
      <x:c r="A67" s="39" t="str">
        <x:v>EP_020</x:v>
      </x:c>
      <x:c r="B67" s="58" t="n">
        <x:v>2022</x:v>
      </x:c>
      <x:c r="C67" s="39" t="str">
        <x:v>CAP Nord</x:v>
      </x:c>
      <x:c r="D67" s="39" t="n">
        <x:v>10.2</x:v>
      </x:c>
      <x:c r="E67" s="39" t="str">
        <x:v>m³/km/j</x:v>
      </x:c>
      <x:c r="F67" s="39" t="str">
        <x:v>14</x:v>
      </x:c>
      <x:c r="G67" s="39" t="str">
        <x:v>EauFrance</x:v>
      </x:c>
      <x:c r="H67" s="39" t="str"/>
    </x:row>
    <x:row r="68">
      <x:c r="A68" s="39" t="str">
        <x:v>EP_020</x:v>
      </x:c>
      <x:c r="B68" s="58" t="n">
        <x:v>2022</x:v>
      </x:c>
      <x:c r="C68" s="39" t="str">
        <x:v>France</x:v>
      </x:c>
      <x:c r="D68" s="39" t="n">
        <x:v>2.1</x:v>
      </x:c>
      <x:c r="E68" s="39" t="str">
        <x:v>m³/km/j</x:v>
      </x:c>
      <x:c r="F68" s="39" t="str">
        <x:v>14</x:v>
      </x:c>
      <x:c r="G68" s="39" t="str">
        <x:v>EauFrance</x:v>
      </x:c>
      <x:c r="H68" s="39" t="str"/>
    </x:row>
    <x:row r="69">
      <x:c r="A69" s="39" t="str">
        <x:v>EP_021</x:v>
      </x:c>
      <x:c r="B69" s="58" t="n">
        <x:v>2022</x:v>
      </x:c>
      <x:c r="C69" s="39" t="str">
        <x:v>CAESM</x:v>
      </x:c>
      <x:c r="D69" s="39" t="n">
        <x:v>0.18</x:v>
      </x:c>
      <x:c r="E69" s="39" t="str">
        <x:v>%</x:v>
      </x:c>
      <x:c r="F69" s="39" t="str">
        <x:v>15</x:v>
      </x:c>
      <x:c r="G69" s="39" t="str">
        <x:v>EauFrance</x:v>
      </x:c>
      <x:c r="H69" s="39" t="str"/>
    </x:row>
    <x:row r="70">
      <x:c r="A70" s="39" t="str">
        <x:v>EP_021</x:v>
      </x:c>
      <x:c r="B70" s="58" t="n">
        <x:v>2022</x:v>
      </x:c>
      <x:c r="C70" s="39" t="str">
        <x:v>CACEM</x:v>
      </x:c>
      <x:c r="D70" s="39" t="n">
        <x:v>0.19</x:v>
      </x:c>
      <x:c r="E70" s="39" t="str">
        <x:v>%</x:v>
      </x:c>
      <x:c r="F70" s="39" t="str">
        <x:v>15</x:v>
      </x:c>
      <x:c r="G70" s="39" t="str">
        <x:v>EauFrance</x:v>
      </x:c>
      <x:c r="H70" s="39" t="str"/>
    </x:row>
    <x:row r="71">
      <x:c r="A71" s="39" t="str">
        <x:v>EP_021</x:v>
      </x:c>
      <x:c r="B71" s="58" t="n">
        <x:v>2022</x:v>
      </x:c>
      <x:c r="C71" s="39" t="str">
        <x:v>CAP Nord</x:v>
      </x:c>
      <x:c r="D71" s="39" t="n">
        <x:v>0.28</x:v>
      </x:c>
      <x:c r="E71" s="39" t="str">
        <x:v>%</x:v>
      </x:c>
      <x:c r="F71" s="39" t="str">
        <x:v>15</x:v>
      </x:c>
      <x:c r="G71" s="39" t="str">
        <x:v>EauFrance</x:v>
      </x:c>
      <x:c r="H71" s="39" t="str"/>
    </x:row>
    <x:row r="72">
      <x:c r="A72" s="39" t="str">
        <x:v>EP_021</x:v>
      </x:c>
      <x:c r="B72" s="58" t="n">
        <x:v>2022</x:v>
      </x:c>
      <x:c r="C72" s="39" t="str">
        <x:v>Martinique (texte)</x:v>
      </x:c>
      <x:c r="D72" s="39" t="n">
        <x:v>0.22</x:v>
      </x:c>
      <x:c r="E72" s="39" t="str">
        <x:v>%</x:v>
      </x:c>
      <x:c r="F72" s="39" t="str">
        <x:v>15</x:v>
      </x:c>
      <x:c r="G72" s="39" t="str">
        <x:v>EauFrance</x:v>
      </x:c>
      <x:c r="H72" s="39" t="str">
        <x:v>Associé à 3 578 km et 7,8 km/an dans le texte</x:v>
      </x:c>
    </x:row>
    <x:row r="73">
      <x:c r="A73" s="39" t="str">
        <x:v>EP_021</x:v>
      </x:c>
      <x:c r="B73" s="58" t="n">
        <x:v>2022</x:v>
      </x:c>
      <x:c r="C73" s="39" t="str">
        <x:v>France</x:v>
      </x:c>
      <x:c r="D73" s="39" t="n">
        <x:v>0.87</x:v>
      </x:c>
      <x:c r="E73" s="39" t="str">
        <x:v>%</x:v>
      </x:c>
      <x:c r="F73" s="39" t="str">
        <x:v>15</x:v>
      </x:c>
      <x:c r="G73" s="39" t="str">
        <x:v>EauFrance</x:v>
      </x:c>
      <x:c r="H73" s="39" t="str"/>
    </x:row>
    <x:row r="74">
      <x:c r="A74" s="39" t="str">
        <x:v>AC_001</x:v>
      </x:c>
      <x:c r="B74" s="58" t="n">
        <x:v>2022</x:v>
      </x:c>
      <x:c r="C74" s="39" t="str">
        <x:v>Martinique</x:v>
      </x:c>
      <x:c r="D74" s="39" t="n">
        <x:v>901</x:v>
      </x:c>
      <x:c r="E74" s="39" t="str">
        <x:v>km</x:v>
      </x:c>
      <x:c r="F74" s="39" t="str">
        <x:v>18</x:v>
      </x:c>
      <x:c r="G74" s="39" t="str">
        <x:v>ODE</x:v>
      </x:c>
      <x:c r="H74" s="39" t="str"/>
    </x:row>
    <x:row r="75">
      <x:c r="A75" s="39" t="str">
        <x:v>AC_001</x:v>
      </x:c>
      <x:c r="B75" s="58" t="n">
        <x:v>2022</x:v>
      </x:c>
      <x:c r="C75" s="39" t="str">
        <x:v>CAESM</x:v>
      </x:c>
      <x:c r="D75" s="39" t="n">
        <x:v>304</x:v>
      </x:c>
      <x:c r="E75" s="39" t="str">
        <x:v>km</x:v>
      </x:c>
      <x:c r="F75" s="39" t="str">
        <x:v>18</x:v>
      </x:c>
      <x:c r="G75" s="39" t="str">
        <x:v>ODE</x:v>
      </x:c>
      <x:c r="H75" s="39" t="str"/>
    </x:row>
    <x:row r="76">
      <x:c r="A76" s="39" t="str">
        <x:v>AC_001</x:v>
      </x:c>
      <x:c r="B76" s="58" t="n">
        <x:v>2022</x:v>
      </x:c>
      <x:c r="C76" s="39" t="str">
        <x:v>CACEM</x:v>
      </x:c>
      <x:c r="D76" s="39" t="n">
        <x:v>345</x:v>
      </x:c>
      <x:c r="E76" s="39" t="str">
        <x:v>km</x:v>
      </x:c>
      <x:c r="F76" s="39" t="str">
        <x:v>18</x:v>
      </x:c>
      <x:c r="G76" s="39" t="str">
        <x:v>ODE</x:v>
      </x:c>
      <x:c r="H76" s="39" t="str"/>
    </x:row>
    <x:row r="77">
      <x:c r="A77" s="39" t="str">
        <x:v>AC_001</x:v>
      </x:c>
      <x:c r="B77" s="58" t="n">
        <x:v>2022</x:v>
      </x:c>
      <x:c r="C77" s="39" t="str">
        <x:v>CAP Nord</x:v>
      </x:c>
      <x:c r="D77" s="39" t="n">
        <x:v>252</x:v>
      </x:c>
      <x:c r="E77" s="39" t="str">
        <x:v>km</x:v>
      </x:c>
      <x:c r="F77" s="39" t="str">
        <x:v>18</x:v>
      </x:c>
      <x:c r="G77" s="39" t="str">
        <x:v>ODE</x:v>
      </x:c>
      <x:c r="H77" s="39" t="str"/>
    </x:row>
    <x:row r="78">
      <x:c r="A78" s="39" t="str">
        <x:v>AC_002</x:v>
      </x:c>
      <x:c r="B78" s="58" t="n">
        <x:v>2022</x:v>
      </x:c>
      <x:c r="C78" s="39" t="str">
        <x:v>Martinique</x:v>
      </x:c>
      <x:c r="D78" s="39" t="n">
        <x:v>312</x:v>
      </x:c>
      <x:c r="E78" s="39" t="str">
        <x:v>nb</x:v>
      </x:c>
      <x:c r="F78" s="39" t="str">
        <x:v>18</x:v>
      </x:c>
      <x:c r="G78" s="39" t="str">
        <x:v>ODE</x:v>
      </x:c>
      <x:c r="H78" s="39" t="str"/>
    </x:row>
    <x:row r="79">
      <x:c r="A79" s="39" t="str">
        <x:v>AC_002</x:v>
      </x:c>
      <x:c r="B79" s="58" t="n">
        <x:v>2022</x:v>
      </x:c>
      <x:c r="C79" s="39" t="str">
        <x:v>CAESM</x:v>
      </x:c>
      <x:c r="D79" s="39" t="n">
        <x:v>117</x:v>
      </x:c>
      <x:c r="E79" s="39" t="str">
        <x:v>nb</x:v>
      </x:c>
      <x:c r="F79" s="39" t="str">
        <x:v>18</x:v>
      </x:c>
      <x:c r="G79" s="39" t="str">
        <x:v>ODE</x:v>
      </x:c>
      <x:c r="H79" s="39" t="str"/>
    </x:row>
    <x:row r="80">
      <x:c r="A80" s="39" t="str">
        <x:v>AC_002</x:v>
      </x:c>
      <x:c r="B80" s="58" t="n">
        <x:v>2022</x:v>
      </x:c>
      <x:c r="C80" s="39" t="str">
        <x:v>CACEM</x:v>
      </x:c>
      <x:c r="D80" s="39" t="n">
        <x:v>82</x:v>
      </x:c>
      <x:c r="E80" s="39" t="str">
        <x:v>nb</x:v>
      </x:c>
      <x:c r="F80" s="39" t="str">
        <x:v>18</x:v>
      </x:c>
      <x:c r="G80" s="39" t="str">
        <x:v>ODE</x:v>
      </x:c>
      <x:c r="H80" s="39" t="str"/>
    </x:row>
    <x:row r="81">
      <x:c r="A81" s="39" t="str">
        <x:v>AC_002</x:v>
      </x:c>
      <x:c r="B81" s="58" t="n">
        <x:v>2022</x:v>
      </x:c>
      <x:c r="C81" s="39" t="str">
        <x:v>CAP Nord</x:v>
      </x:c>
      <x:c r="D81" s="39" t="n">
        <x:v>113</x:v>
      </x:c>
      <x:c r="E81" s="39" t="str">
        <x:v>nb</x:v>
      </x:c>
      <x:c r="F81" s="39" t="str">
        <x:v>18</x:v>
      </x:c>
      <x:c r="G81" s="39" t="str">
        <x:v>ODE</x:v>
      </x:c>
      <x:c r="H81" s="39" t="str"/>
    </x:row>
    <x:row r="82">
      <x:c r="A82" s="39" t="str">
        <x:v>AC_003</x:v>
      </x:c>
      <x:c r="B82" s="58" t="n">
        <x:v>2022</x:v>
      </x:c>
      <x:c r="C82" s="39" t="str">
        <x:v>Martinique</x:v>
      </x:c>
      <x:c r="D82" s="39" t="n">
        <x:v>103</x:v>
      </x:c>
      <x:c r="E82" s="39" t="str">
        <x:v>nb</x:v>
      </x:c>
      <x:c r="F82" s="39" t="str">
        <x:v>4</x:v>
      </x:c>
      <x:c r="G82" s="39" t="str">
        <x:v>ODE/RPQS/DEAL</x:v>
      </x:c>
      <x:c r="H82" s="39" t="str">
        <x:v>Toutes tailles</x:v>
      </x:c>
    </x:row>
    <x:row r="83">
      <x:c r="A83" s="39" t="str">
        <x:v>AC_004</x:v>
      </x:c>
      <x:c r="B83" s="58" t="n">
        <x:v>2022</x:v>
      </x:c>
      <x:c r="C83" s="39" t="str">
        <x:v>Martinique</x:v>
      </x:c>
      <x:c r="D83" s="39" t="n">
        <x:v>68</x:v>
      </x:c>
      <x:c r="E83" s="39" t="str">
        <x:v>nb</x:v>
      </x:c>
      <x:c r="F83" s="39" t="str">
        <x:v>19</x:v>
      </x:c>
      <x:c r="G83" s="39" t="str">
        <x:v>ODE/RPQS/DEAL</x:v>
      </x:c>
      <x:c r="H83" s="39" t="str">
        <x:v>&gt;200 EH</x:v>
      </x:c>
    </x:row>
    <x:row r="84">
      <x:c r="A84" s="39" t="str">
        <x:v>AC_004</x:v>
      </x:c>
      <x:c r="B84" s="58" t="n">
        <x:v>2022</x:v>
      </x:c>
      <x:c r="C84" s="39" t="str">
        <x:v>CAESM</x:v>
      </x:c>
      <x:c r="D84" s="39" t="n">
        <x:v>28</x:v>
      </x:c>
      <x:c r="E84" s="39" t="str">
        <x:v>nb</x:v>
      </x:c>
      <x:c r="F84" s="39" t="str">
        <x:v>19</x:v>
      </x:c>
      <x:c r="G84" s="39" t="str">
        <x:v>ODE/RPQS/DEAL</x:v>
      </x:c>
      <x:c r="H84" s="39" t="str"/>
    </x:row>
    <x:row r="85">
      <x:c r="A85" s="39" t="str">
        <x:v>AC_004</x:v>
      </x:c>
      <x:c r="B85" s="58" t="n">
        <x:v>2022</x:v>
      </x:c>
      <x:c r="C85" s="39" t="str">
        <x:v>CACEM</x:v>
      </x:c>
      <x:c r="D85" s="39" t="n">
        <x:v>15</x:v>
      </x:c>
      <x:c r="E85" s="39" t="str">
        <x:v>nb</x:v>
      </x:c>
      <x:c r="F85" s="39" t="str">
        <x:v>19</x:v>
      </x:c>
      <x:c r="G85" s="39" t="str">
        <x:v>ODE/RPQS/DEAL</x:v>
      </x:c>
      <x:c r="H85" s="39" t="str"/>
    </x:row>
    <x:row r="86">
      <x:c r="A86" s="39" t="str">
        <x:v>AC_004</x:v>
      </x:c>
      <x:c r="B86" s="58" t="n">
        <x:v>2022</x:v>
      </x:c>
      <x:c r="C86" s="39" t="str">
        <x:v>CAP Nord</x:v>
      </x:c>
      <x:c r="D86" s="39" t="n">
        <x:v>25</x:v>
      </x:c>
      <x:c r="E86" s="39" t="str">
        <x:v>nb</x:v>
      </x:c>
      <x:c r="F86" s="39" t="str">
        <x:v>19</x:v>
      </x:c>
      <x:c r="G86" s="39" t="str">
        <x:v>ODE/RPQS/DEAL</x:v>
      </x:c>
      <x:c r="H86" s="39" t="str"/>
    </x:row>
    <x:row r="87">
      <x:c r="A87" s="39" t="str">
        <x:v>AC_005</x:v>
      </x:c>
      <x:c r="B87" s="58" t="n">
        <x:v>2022</x:v>
      </x:c>
      <x:c r="C87" s="39" t="str">
        <x:v>Martinique</x:v>
      </x:c>
      <x:c r="D87" s="39" t="n">
        <x:v>351866</x:v>
      </x:c>
      <x:c r="E87" s="39" t="str">
        <x:v>EH</x:v>
      </x:c>
      <x:c r="F87" s="39" t="str">
        <x:v>19</x:v>
      </x:c>
      <x:c r="G87" s="39" t="str">
        <x:v>ODE/RPQS/DEAL</x:v>
      </x:c>
      <x:c r="H87" s="39" t="str">
        <x:v>Valeur détaillée p.19</x:v>
      </x:c>
    </x:row>
    <x:row r="88">
      <x:c r="A88" s="39" t="str">
        <x:v>AC_005</x:v>
      </x:c>
      <x:c r="B88" s="58" t="n">
        <x:v>2022</x:v>
      </x:c>
      <x:c r="C88" s="39" t="str">
        <x:v>CAESM</x:v>
      </x:c>
      <x:c r="D88" s="39" t="n">
        <x:v>101921</x:v>
      </x:c>
      <x:c r="E88" s="39" t="str">
        <x:v>EH</x:v>
      </x:c>
      <x:c r="F88" s="39" t="str">
        <x:v>19</x:v>
      </x:c>
      <x:c r="G88" s="39" t="str">
        <x:v>ODE/RPQS/DEAL</x:v>
      </x:c>
      <x:c r="H88" s="39" t="str"/>
    </x:row>
    <x:row r="89">
      <x:c r="A89" s="39" t="str">
        <x:v>AC_005</x:v>
      </x:c>
      <x:c r="B89" s="58" t="n">
        <x:v>2022</x:v>
      </x:c>
      <x:c r="C89" s="39" t="str">
        <x:v>CACEM</x:v>
      </x:c>
      <x:c r="D89" s="39" t="n">
        <x:v>180835</x:v>
      </x:c>
      <x:c r="E89" s="39" t="str">
        <x:v>EH</x:v>
      </x:c>
      <x:c r="F89" s="39" t="str">
        <x:v>19</x:v>
      </x:c>
      <x:c r="G89" s="39" t="str">
        <x:v>ODE/RPQS/DEAL</x:v>
      </x:c>
      <x:c r="H89" s="39" t="str"/>
    </x:row>
    <x:row r="90">
      <x:c r="A90" s="39" t="str">
        <x:v>AC_005</x:v>
      </x:c>
      <x:c r="B90" s="58" t="n">
        <x:v>2022</x:v>
      </x:c>
      <x:c r="C90" s="39" t="str">
        <x:v>CAP Nord</x:v>
      </x:c>
      <x:c r="D90" s="39" t="n">
        <x:v>68060</x:v>
      </x:c>
      <x:c r="E90" s="39" t="str">
        <x:v>EH</x:v>
      </x:c>
      <x:c r="F90" s="39" t="str">
        <x:v>19</x:v>
      </x:c>
      <x:c r="G90" s="39" t="str">
        <x:v>ODE/RPQS/DEAL</x:v>
      </x:c>
      <x:c r="H90" s="39" t="str"/>
    </x:row>
    <x:row r="91">
      <x:c r="A91" s="39" t="str">
        <x:v>AC_006</x:v>
      </x:c>
      <x:c r="B91" s="58" t="n">
        <x:v>2022</x:v>
      </x:c>
      <x:c r="C91" s="39" t="str">
        <x:v>Martinique</x:v>
      </x:c>
      <x:c r="D91" s="39" t="n">
        <x:v>43</x:v>
      </x:c>
      <x:c r="E91" s="39" t="str">
        <x:v>%</x:v>
      </x:c>
      <x:c r="F91" s="39" t="str">
        <x:v>20</x:v>
      </x:c>
      <x:c r="G91" s="39" t="str">
        <x:v>ODE</x:v>
      </x:c>
      <x:c r="H91" s="39" t="str">
        <x:v>4 plus grosses = 153 943 EH</x:v>
      </x:c>
    </x:row>
    <x:row r="92">
      <x:c r="A92" s="39" t="str">
        <x:v>AC_006</x:v>
      </x:c>
      <x:c r="B92" s="58" t="n">
        <x:v>2022</x:v>
      </x:c>
      <x:c r="C92" s="39" t="str">
        <x:v>Martinique - 4 plus grosses</x:v>
      </x:c>
      <x:c r="D92" s="39" t="n">
        <x:v>153943</x:v>
      </x:c>
      <x:c r="E92" s="39" t="str">
        <x:v>EH</x:v>
      </x:c>
      <x:c r="F92" s="39" t="str">
        <x:v>20</x:v>
      </x:c>
      <x:c r="G92" s="39" t="str">
        <x:v>ODE</x:v>
      </x:c>
      <x:c r="H92" s="39" t="str"/>
    </x:row>
    <x:row r="93">
      <x:c r="A93" s="39" t="str">
        <x:v>AC_007</x:v>
      </x:c>
      <x:c r="B93" s="58" t="n">
        <x:v>2022</x:v>
      </x:c>
      <x:c r="C93" s="39" t="str">
        <x:v>Martinique</x:v>
      </x:c>
      <x:c r="D93" s="39" t="n">
        <x:v>9</x:v>
      </x:c>
      <x:c r="E93" s="39" t="str">
        <x:v>%</x:v>
      </x:c>
      <x:c r="F93" s="39" t="str">
        <x:v>20</x:v>
      </x:c>
      <x:c r="G93" s="39" t="str">
        <x:v>ODE</x:v>
      </x:c>
      <x:c r="H93" s="39" t="str">
        <x:v>42 plus petites = 32 221 EH</x:v>
      </x:c>
    </x:row>
    <x:row r="94">
      <x:c r="A94" s="39" t="str">
        <x:v>AC_007</x:v>
      </x:c>
      <x:c r="B94" s="58" t="n">
        <x:v>2022</x:v>
      </x:c>
      <x:c r="C94" s="39" t="str">
        <x:v>Martinique - 42 plus petites</x:v>
      </x:c>
      <x:c r="D94" s="39" t="n">
        <x:v>32221</x:v>
      </x:c>
      <x:c r="E94" s="39" t="str">
        <x:v>EH</x:v>
      </x:c>
      <x:c r="F94" s="39" t="str">
        <x:v>20</x:v>
      </x:c>
      <x:c r="G94" s="39" t="str">
        <x:v>ODE</x:v>
      </x:c>
      <x:c r="H94" s="39" t="str"/>
    </x:row>
    <x:row r="95">
      <x:c r="A95" s="39" t="str">
        <x:v>AC_008</x:v>
      </x:c>
      <x:c r="B95" s="58" t="n">
        <x:v>2022</x:v>
      </x:c>
      <x:c r="C95" s="39" t="str">
        <x:v>Martinique</x:v>
      </x:c>
      <x:c r="D95" s="39" t="n">
        <x:v>21</x:v>
      </x:c>
      <x:c r="E95" s="39" t="str">
        <x:v>%</x:v>
      </x:c>
      <x:c r="F95" s="39" t="str">
        <x:v>20</x:v>
      </x:c>
      <x:c r="G95" s="39" t="str">
        <x:v>ODE</x:v>
      </x:c>
      <x:c r="H95" s="39" t="str">
        <x:v>Capacité EH conforme</x:v>
      </x:c>
    </x:row>
    <x:row r="96">
      <x:c r="A96" s="39" t="str">
        <x:v>AC_008</x:v>
      </x:c>
      <x:c r="B96" s="58" t="n">
        <x:v>2022</x:v>
      </x:c>
      <x:c r="C96" s="39" t="str">
        <x:v>CACEM</x:v>
      </x:c>
      <x:c r="D96" s="39" t="n">
        <x:v>19</x:v>
      </x:c>
      <x:c r="E96" s="39" t="str">
        <x:v>%</x:v>
      </x:c>
      <x:c r="F96" s="39" t="str">
        <x:v>20</x:v>
      </x:c>
      <x:c r="G96" s="39" t="str">
        <x:v>ODE</x:v>
      </x:c>
      <x:c r="H96" s="39" t="str">
        <x:v>Capacité EH conforme</x:v>
      </x:c>
    </x:row>
    <x:row r="97">
      <x:c r="A97" s="39" t="str">
        <x:v>AC_008</x:v>
      </x:c>
      <x:c r="B97" s="58" t="n">
        <x:v>2022</x:v>
      </x:c>
      <x:c r="C97" s="39" t="str">
        <x:v>CAESM</x:v>
      </x:c>
      <x:c r="D97" s="39" t="n">
        <x:v>21</x:v>
      </x:c>
      <x:c r="E97" s="39" t="str">
        <x:v>%</x:v>
      </x:c>
      <x:c r="F97" s="39" t="str">
        <x:v>20</x:v>
      </x:c>
      <x:c r="G97" s="39" t="str">
        <x:v>ODE</x:v>
      </x:c>
      <x:c r="H97" s="39" t="str">
        <x:v>Capacité EH conforme</x:v>
      </x:c>
    </x:row>
    <x:row r="98">
      <x:c r="A98" s="39" t="str">
        <x:v>AC_008</x:v>
      </x:c>
      <x:c r="B98" s="58" t="n">
        <x:v>2022</x:v>
      </x:c>
      <x:c r="C98" s="39" t="str">
        <x:v>CAP Nord</x:v>
      </x:c>
      <x:c r="D98" s="39" t="n">
        <x:v>24</x:v>
      </x:c>
      <x:c r="E98" s="39" t="str">
        <x:v>%</x:v>
      </x:c>
      <x:c r="F98" s="39" t="str">
        <x:v>20</x:v>
      </x:c>
      <x:c r="G98" s="39" t="str">
        <x:v>ODE</x:v>
      </x:c>
      <x:c r="H98" s="39" t="str">
        <x:v>Capacité EH conforme</x:v>
      </x:c>
    </x:row>
    <x:row r="99">
      <x:c r="A99" s="39" t="str">
        <x:v>AC_009</x:v>
      </x:c>
      <x:c r="B99" s="58" t="n">
        <x:v>2022</x:v>
      </x:c>
      <x:c r="C99" s="39" t="str">
        <x:v>Martinique</x:v>
      </x:c>
      <x:c r="D99" s="39" t="n">
        <x:v>18</x:v>
      </x:c>
      <x:c r="E99" s="39" t="str">
        <x:v>%</x:v>
      </x:c>
      <x:c r="F99" s="39" t="str">
        <x:v>21</x:v>
      </x:c>
      <x:c r="G99" s="39" t="str">
        <x:v>ODE/ERU</x:v>
      </x:c>
      <x:c r="H99" s="39" t="str">
        <x:v>Stations conformes</x:v>
      </x:c>
    </x:row>
    <x:row r="100">
      <x:c r="A100" s="39" t="str">
        <x:v>AC_009</x:v>
      </x:c>
      <x:c r="B100" s="58" t="n">
        <x:v>2022</x:v>
      </x:c>
      <x:c r="C100" s="39" t="str">
        <x:v>CACEM</x:v>
      </x:c>
      <x:c r="D100" s="39" t="n">
        <x:v>19</x:v>
      </x:c>
      <x:c r="E100" s="39" t="str">
        <x:v>%</x:v>
      </x:c>
      <x:c r="F100" s="39" t="str">
        <x:v>21</x:v>
      </x:c>
      <x:c r="G100" s="39" t="str">
        <x:v>ODE/ERU</x:v>
      </x:c>
      <x:c r="H100" s="39" t="str">
        <x:v>Stations conformes</x:v>
      </x:c>
    </x:row>
    <x:row r="101">
      <x:c r="A101" s="39" t="str">
        <x:v>AC_009</x:v>
      </x:c>
      <x:c r="B101" s="58" t="n">
        <x:v>2022</x:v>
      </x:c>
      <x:c r="C101" s="39" t="str">
        <x:v>CAESM</x:v>
      </x:c>
      <x:c r="D101" s="39" t="n">
        <x:v>25</x:v>
      </x:c>
      <x:c r="E101" s="39" t="str">
        <x:v>%</x:v>
      </x:c>
      <x:c r="F101" s="39" t="str">
        <x:v>21</x:v>
      </x:c>
      <x:c r="G101" s="39" t="str">
        <x:v>ODE/ERU</x:v>
      </x:c>
      <x:c r="H101" s="39" t="str">
        <x:v>Stations conformes</x:v>
      </x:c>
    </x:row>
    <x:row r="102">
      <x:c r="A102" s="39" t="str">
        <x:v>AC_009</x:v>
      </x:c>
      <x:c r="B102" s="58" t="n">
        <x:v>2022</x:v>
      </x:c>
      <x:c r="C102" s="39" t="str">
        <x:v>CAP Nord</x:v>
      </x:c>
      <x:c r="D102" s="39" t="n">
        <x:v>11</x:v>
      </x:c>
      <x:c r="E102" s="39" t="str">
        <x:v>%</x:v>
      </x:c>
      <x:c r="F102" s="39" t="str">
        <x:v>21</x:v>
      </x:c>
      <x:c r="G102" s="39" t="str">
        <x:v>ODE/ERU</x:v>
      </x:c>
      <x:c r="H102" s="39" t="str">
        <x:v>Stations conformes</x:v>
      </x:c>
    </x:row>
    <x:row r="103">
      <x:c r="A103" s="39" t="str">
        <x:v>AC_010</x:v>
      </x:c>
      <x:c r="B103" s="58" t="n">
        <x:v>2020</x:v>
      </x:c>
      <x:c r="C103" s="39" t="str">
        <x:v>Martinique</x:v>
      </x:c>
      <x:c r="D103" s="39" t="n">
        <x:v>16</x:v>
      </x:c>
      <x:c r="E103" s="39" t="str">
        <x:v>%</x:v>
      </x:c>
      <x:c r="F103" s="39" t="str">
        <x:v>4</x:v>
      </x:c>
      <x:c r="G103" s="39" t="str">
        <x:v>ODE/ERU</x:v>
      </x:c>
      <x:c r="H103" s="39" t="str"/>
    </x:row>
    <x:row r="104">
      <x:c r="A104" s="39" t="str">
        <x:v>AC_010</x:v>
      </x:c>
      <x:c r="B104" s="58" t="n">
        <x:v>2021</x:v>
      </x:c>
      <x:c r="C104" s="39" t="str">
        <x:v>Martinique</x:v>
      </x:c>
      <x:c r="D104" s="39" t="n">
        <x:v>10</x:v>
      </x:c>
      <x:c r="E104" s="39" t="str">
        <x:v>%</x:v>
      </x:c>
      <x:c r="F104" s="39" t="str">
        <x:v>4</x:v>
      </x:c>
      <x:c r="G104" s="39" t="str">
        <x:v>ODE/ERU</x:v>
      </x:c>
      <x:c r="H104" s="39" t="str"/>
    </x:row>
    <x:row r="105">
      <x:c r="A105" s="39" t="str">
        <x:v>AC_010</x:v>
      </x:c>
      <x:c r="B105" s="58" t="n">
        <x:v>2022</x:v>
      </x:c>
      <x:c r="C105" s="39" t="str">
        <x:v>Martinique</x:v>
      </x:c>
      <x:c r="D105" s="39" t="n">
        <x:v>18</x:v>
      </x:c>
      <x:c r="E105" s="39" t="str">
        <x:v>%</x:v>
      </x:c>
      <x:c r="F105" s="39" t="str">
        <x:v>4</x:v>
      </x:c>
      <x:c r="G105" s="39" t="str">
        <x:v>ODE/ERU</x:v>
      </x:c>
      <x:c r="H105" s="39" t="str"/>
    </x:row>
    <x:row r="106">
      <x:c r="A106" s="39" t="str">
        <x:v>AC_011</x:v>
      </x:c>
      <x:c r="B106" s="58" t="n">
        <x:v>2020</x:v>
      </x:c>
      <x:c r="C106" s="39" t="str">
        <x:v>Martinique</x:v>
      </x:c>
      <x:c r="D106" s="39" t="n">
        <x:v>14</x:v>
      </x:c>
      <x:c r="E106" s="39" t="str">
        <x:v>%</x:v>
      </x:c>
      <x:c r="F106" s="39" t="str">
        <x:v>4</x:v>
      </x:c>
      <x:c r="G106" s="39" t="str">
        <x:v>ODE/ERU</x:v>
      </x:c>
      <x:c r="H106" s="39" t="str">
        <x:v>Effluents via station conforme</x:v>
      </x:c>
    </x:row>
    <x:row r="107">
      <x:c r="A107" s="39" t="str">
        <x:v>AC_011</x:v>
      </x:c>
      <x:c r="B107" s="58" t="n">
        <x:v>2021</x:v>
      </x:c>
      <x:c r="C107" s="39" t="str">
        <x:v>Martinique</x:v>
      </x:c>
      <x:c r="D107" s="39" t="n">
        <x:v>25</x:v>
      </x:c>
      <x:c r="E107" s="39" t="str">
        <x:v>%</x:v>
      </x:c>
      <x:c r="F107" s="39" t="str">
        <x:v>4</x:v>
      </x:c>
      <x:c r="G107" s="39" t="str">
        <x:v>ODE/ERU</x:v>
      </x:c>
      <x:c r="H107" s="39" t="str"/>
    </x:row>
    <x:row r="108">
      <x:c r="A108" s="39" t="str">
        <x:v>AC_011</x:v>
      </x:c>
      <x:c r="B108" s="58" t="n">
        <x:v>2022</x:v>
      </x:c>
      <x:c r="C108" s="39" t="str">
        <x:v>Martinique</x:v>
      </x:c>
      <x:c r="D108" s="39" t="n">
        <x:v>20</x:v>
      </x:c>
      <x:c r="E108" s="39" t="str">
        <x:v>%</x:v>
      </x:c>
      <x:c r="F108" s="39" t="str">
        <x:v>4</x:v>
      </x:c>
      <x:c r="G108" s="39" t="str">
        <x:v>ODE/ERU</x:v>
      </x:c>
      <x:c r="H108" s="39" t="str"/>
    </x:row>
    <x:row r="109">
      <x:c r="A109" s="39" t="str">
        <x:v>AC_012</x:v>
      </x:c>
      <x:c r="B109" s="58" t="n">
        <x:v>2020</x:v>
      </x:c>
      <x:c r="C109" s="39" t="str">
        <x:v>Martinique</x:v>
      </x:c>
      <x:c r="D109" s="39" t="n">
        <x:v>1669</x:v>
      </x:c>
      <x:c r="E109" s="39" t="str">
        <x:v>TMS</x:v>
      </x:c>
      <x:c r="F109" s="39" t="str">
        <x:v>23</x:v>
      </x:c>
      <x:c r="G109" s="39" t="str">
        <x:v>RAD/RPQS</x:v>
      </x:c>
      <x:c r="H109" s="39" t="str"/>
    </x:row>
    <x:row r="110">
      <x:c r="A110" s="39" t="str">
        <x:v>AC_012</x:v>
      </x:c>
      <x:c r="B110" s="58" t="n">
        <x:v>2021</x:v>
      </x:c>
      <x:c r="C110" s="39" t="str">
        <x:v>Martinique</x:v>
      </x:c>
      <x:c r="D110" s="39" t="n">
        <x:v>1730</x:v>
      </x:c>
      <x:c r="E110" s="39" t="str">
        <x:v>TMS</x:v>
      </x:c>
      <x:c r="F110" s="39" t="str">
        <x:v>23</x:v>
      </x:c>
      <x:c r="G110" s="39" t="str">
        <x:v>RAD/RPQS</x:v>
      </x:c>
      <x:c r="H110" s="39" t="str"/>
    </x:row>
    <x:row r="111">
      <x:c r="A111" s="39" t="str">
        <x:v>AC_012</x:v>
      </x:c>
      <x:c r="B111" s="58" t="n">
        <x:v>2022</x:v>
      </x:c>
      <x:c r="C111" s="39" t="str">
        <x:v>Martinique</x:v>
      </x:c>
      <x:c r="D111" s="39" t="n">
        <x:v>1622</x:v>
      </x:c>
      <x:c r="E111" s="39" t="str">
        <x:v>TMS</x:v>
      </x:c>
      <x:c r="F111" s="39" t="str">
        <x:v>23</x:v>
      </x:c>
      <x:c r="G111" s="39" t="str">
        <x:v>RAD/RPQS</x:v>
      </x:c>
      <x:c r="H111" s="39" t="str"/>
    </x:row>
    <x:row r="112">
      <x:c r="A112" s="39" t="str">
        <x:v>AC_012</x:v>
      </x:c>
      <x:c r="B112" s="58" t="n">
        <x:v>2022</x:v>
      </x:c>
      <x:c r="C112" s="39" t="str">
        <x:v>CAESM</x:v>
      </x:c>
      <x:c r="D112" s="39" t="n">
        <x:v>322</x:v>
      </x:c>
      <x:c r="E112" s="39" t="str">
        <x:v>TMS</x:v>
      </x:c>
      <x:c r="F112" s="39" t="str">
        <x:v>23</x:v>
      </x:c>
      <x:c r="G112" s="39" t="str">
        <x:v>RAD/RPQS</x:v>
      </x:c>
      <x:c r="H112" s="39" t="str"/>
    </x:row>
    <x:row r="113">
      <x:c r="A113" s="39" t="str">
        <x:v>AC_012</x:v>
      </x:c>
      <x:c r="B113" s="58" t="n">
        <x:v>2022</x:v>
      </x:c>
      <x:c r="C113" s="39" t="str">
        <x:v>CACEM</x:v>
      </x:c>
      <x:c r="D113" s="39" t="n">
        <x:v>1017</x:v>
      </x:c>
      <x:c r="E113" s="39" t="str">
        <x:v>TMS</x:v>
      </x:c>
      <x:c r="F113" s="39" t="str">
        <x:v>23</x:v>
      </x:c>
      <x:c r="G113" s="39" t="str">
        <x:v>RAD/RPQS</x:v>
      </x:c>
      <x:c r="H113" s="39" t="str"/>
    </x:row>
    <x:row r="114">
      <x:c r="A114" s="39" t="str">
        <x:v>AC_012</x:v>
      </x:c>
      <x:c r="B114" s="58" t="n">
        <x:v>2022</x:v>
      </x:c>
      <x:c r="C114" s="39" t="str">
        <x:v>CAP Nord</x:v>
      </x:c>
      <x:c r="D114" s="39" t="n">
        <x:v>282</x:v>
      </x:c>
      <x:c r="E114" s="39" t="str">
        <x:v>TMS</x:v>
      </x:c>
      <x:c r="F114" s="39" t="str">
        <x:v>23</x:v>
      </x:c>
      <x:c r="G114" s="39" t="str">
        <x:v>RAD/RPQS</x:v>
      </x:c>
      <x:c r="H114" s="39" t="str"/>
    </x:row>
    <x:row r="115">
      <x:c r="A115" s="39" t="str">
        <x:v>AC_013</x:v>
      </x:c>
      <x:c r="B115" s="58" t="n">
        <x:v>2022</x:v>
      </x:c>
      <x:c r="C115" s="39" t="str">
        <x:v>CAESM</x:v>
      </x:c>
      <x:c r="D115" s="39" t="n">
        <x:v>13.5</x:v>
      </x:c>
      <x:c r="E115" s="39" t="str">
        <x:v>kg/abonné</x:v>
      </x:c>
      <x:c r="F115" s="39" t="str">
        <x:v>23</x:v>
      </x:c>
      <x:c r="G115" s="39" t="str">
        <x:v>Calcul ODE</x:v>
      </x:c>
      <x:c r="H115" s="39" t="str"/>
    </x:row>
    <x:row r="116">
      <x:c r="A116" s="39" t="str">
        <x:v>AC_013</x:v>
      </x:c>
      <x:c r="B116" s="58" t="n">
        <x:v>2022</x:v>
      </x:c>
      <x:c r="C116" s="39" t="str">
        <x:v>CACEM</x:v>
      </x:c>
      <x:c r="D116" s="39" t="n">
        <x:v>25.76</x:v>
      </x:c>
      <x:c r="E116" s="39" t="str">
        <x:v>kg/abonné</x:v>
      </x:c>
      <x:c r="F116" s="39" t="str">
        <x:v>23</x:v>
      </x:c>
      <x:c r="G116" s="39" t="str">
        <x:v>Calcul ODE</x:v>
      </x:c>
      <x:c r="H116" s="39" t="str"/>
    </x:row>
    <x:row r="117">
      <x:c r="A117" s="39" t="str">
        <x:v>AC_013</x:v>
      </x:c>
      <x:c r="B117" s="58" t="n">
        <x:v>2022</x:v>
      </x:c>
      <x:c r="C117" s="39" t="str">
        <x:v>CAP Nord</x:v>
      </x:c>
      <x:c r="D117" s="39" t="n">
        <x:v>16.13</x:v>
      </x:c>
      <x:c r="E117" s="39" t="str">
        <x:v>kg/abonné</x:v>
      </x:c>
      <x:c r="F117" s="39" t="str">
        <x:v>23</x:v>
      </x:c>
      <x:c r="G117" s="39" t="str">
        <x:v>Calcul ODE</x:v>
      </x:c>
      <x:c r="H117" s="39" t="str"/>
    </x:row>
    <x:row r="118">
      <x:c r="A118" s="39" t="str">
        <x:v>AC_014</x:v>
      </x:c>
      <x:c r="B118" s="58" t="n">
        <x:v>2020</x:v>
      </x:c>
      <x:c r="C118" s="39" t="str">
        <x:v>Martinique</x:v>
      </x:c>
      <x:c r="D118" s="39" t="n">
        <x:v>79917</x:v>
      </x:c>
      <x:c r="E118" s="39" t="str">
        <x:v>abonnés</x:v>
      </x:c>
      <x:c r="F118" s="39" t="str">
        <x:v>24</x:v>
      </x:c>
      <x:c r="G118" s="39" t="str">
        <x:v>RAD/RPQS</x:v>
      </x:c>
      <x:c r="H118" s="39" t="str"/>
    </x:row>
    <x:row r="119">
      <x:c r="A119" s="39" t="str">
        <x:v>AC_014</x:v>
      </x:c>
      <x:c r="B119" s="58" t="n">
        <x:v>2021</x:v>
      </x:c>
      <x:c r="C119" s="39" t="str">
        <x:v>Martinique</x:v>
      </x:c>
      <x:c r="D119" s="39" t="n">
        <x:v>80486</x:v>
      </x:c>
      <x:c r="E119" s="39" t="str">
        <x:v>abonnés</x:v>
      </x:c>
      <x:c r="F119" s="39" t="str">
        <x:v>24</x:v>
      </x:c>
      <x:c r="G119" s="39" t="str">
        <x:v>RAD/RPQS</x:v>
      </x:c>
      <x:c r="H119" s="39" t="str"/>
    </x:row>
    <x:row r="120">
      <x:c r="A120" s="39" t="str">
        <x:v>AC_014</x:v>
      </x:c>
      <x:c r="B120" s="58" t="n">
        <x:v>2022</x:v>
      </x:c>
      <x:c r="C120" s="39" t="str">
        <x:v>Martinique</x:v>
      </x:c>
      <x:c r="D120" s="39" t="n">
        <x:v>80832</x:v>
      </x:c>
      <x:c r="E120" s="39" t="str">
        <x:v>abonnés</x:v>
      </x:c>
      <x:c r="F120" s="39" t="str">
        <x:v>24</x:v>
      </x:c>
      <x:c r="G120" s="39" t="str">
        <x:v>RAD/RPQS</x:v>
      </x:c>
      <x:c r="H120" s="39" t="str"/>
    </x:row>
    <x:row r="121">
      <x:c r="A121" s="39" t="str">
        <x:v>AC_015</x:v>
      </x:c>
      <x:c r="B121" s="58" t="n">
        <x:v>2020</x:v>
      </x:c>
      <x:c r="C121" s="39" t="str">
        <x:v>Martinique</x:v>
      </x:c>
      <x:c r="D121" s="39" t="n">
        <x:v>8318168</x:v>
      </x:c>
      <x:c r="E121" s="39" t="str">
        <x:v>m³/an</x:v>
      </x:c>
      <x:c r="F121" s="39" t="str">
        <x:v>24</x:v>
      </x:c>
      <x:c r="G121" s="39" t="str">
        <x:v>RAD/RPQS</x:v>
      </x:c>
      <x:c r="H121" s="39" t="str"/>
    </x:row>
    <x:row r="122">
      <x:c r="A122" s="39" t="str">
        <x:v>AC_015</x:v>
      </x:c>
      <x:c r="B122" s="58" t="n">
        <x:v>2021</x:v>
      </x:c>
      <x:c r="C122" s="39" t="str">
        <x:v>Martinique</x:v>
      </x:c>
      <x:c r="D122" s="39" t="n">
        <x:v>9150665</x:v>
      </x:c>
      <x:c r="E122" s="39" t="str">
        <x:v>m³/an</x:v>
      </x:c>
      <x:c r="F122" s="39" t="str">
        <x:v>24</x:v>
      </x:c>
      <x:c r="G122" s="39" t="str">
        <x:v>RAD/RPQS</x:v>
      </x:c>
      <x:c r="H122" s="39" t="str"/>
    </x:row>
    <x:row r="123">
      <x:c r="A123" s="39" t="str">
        <x:v>AC_015</x:v>
      </x:c>
      <x:c r="B123" s="58" t="n">
        <x:v>2022</x:v>
      </x:c>
      <x:c r="C123" s="39" t="str">
        <x:v>Martinique</x:v>
      </x:c>
      <x:c r="D123" s="39" t="n">
        <x:v>9940643</x:v>
      </x:c>
      <x:c r="E123" s="39" t="str">
        <x:v>m³/an</x:v>
      </x:c>
      <x:c r="F123" s="39" t="str">
        <x:v>24</x:v>
      </x:c>
      <x:c r="G123" s="39" t="str">
        <x:v>RAD/RPQS</x:v>
      </x:c>
      <x:c r="H123" s="39" t="str"/>
    </x:row>
    <x:row r="124">
      <x:c r="A124" s="39" t="str">
        <x:v>AC_016</x:v>
      </x:c>
      <x:c r="B124" s="58" t="n">
        <x:v>2022</x:v>
      </x:c>
      <x:c r="C124" s="39" t="str">
        <x:v>CAESM</x:v>
      </x:c>
      <x:c r="D124" s="39" t="n">
        <x:v>39</x:v>
      </x:c>
      <x:c r="E124" s="39" t="str">
        <x:v>%</x:v>
      </x:c>
      <x:c r="F124" s="39" t="str">
        <x:v>25</x:v>
      </x:c>
      <x:c r="G124" s="39" t="str">
        <x:v>ODE</x:v>
      </x:c>
      <x:c r="H124" s="39" t="str"/>
    </x:row>
    <x:row r="125">
      <x:c r="A125" s="39" t="str">
        <x:v>AC_016</x:v>
      </x:c>
      <x:c r="B125" s="58" t="n">
        <x:v>2022</x:v>
      </x:c>
      <x:c r="C125" s="39" t="str">
        <x:v>CACEM</x:v>
      </x:c>
      <x:c r="D125" s="39" t="n">
        <x:v>52</x:v>
      </x:c>
      <x:c r="E125" s="39" t="str">
        <x:v>%</x:v>
      </x:c>
      <x:c r="F125" s="39" t="str">
        <x:v>25</x:v>
      </x:c>
      <x:c r="G125" s="39" t="str">
        <x:v>ODE</x:v>
      </x:c>
      <x:c r="H125" s="39" t="str"/>
    </x:row>
    <x:row r="126">
      <x:c r="A126" s="39" t="str">
        <x:v>AC_016</x:v>
      </x:c>
      <x:c r="B126" s="58" t="n">
        <x:v>2022</x:v>
      </x:c>
      <x:c r="C126" s="39" t="str">
        <x:v>CAP Nord</x:v>
      </x:c>
      <x:c r="D126" s="39" t="n">
        <x:v>32</x:v>
      </x:c>
      <x:c r="E126" s="39" t="str">
        <x:v>%</x:v>
      </x:c>
      <x:c r="F126" s="39" t="str">
        <x:v>25</x:v>
      </x:c>
      <x:c r="G126" s="39" t="str">
        <x:v>ODE</x:v>
      </x:c>
      <x:c r="H126" s="39" t="str"/>
    </x:row>
    <x:row r="127">
      <x:c r="A127" s="39" t="str">
        <x:v>AC_016</x:v>
      </x:c>
      <x:c r="B127" s="58" t="n">
        <x:v>2022</x:v>
      </x:c>
      <x:c r="C127" s="39" t="str">
        <x:v>Martinique</x:v>
      </x:c>
      <x:c r="D127" s="39" t="n">
        <x:v>42.5</x:v>
      </x:c>
      <x:c r="E127" s="39" t="str">
        <x:v>%</x:v>
      </x:c>
      <x:c r="F127" s="39" t="str">
        <x:v>25</x:v>
      </x:c>
      <x:c r="G127" s="39" t="str">
        <x:v>ODE</x:v>
      </x:c>
      <x:c r="H127" s="39" t="str">
        <x:v>80 832 / 190 066 = 42,52 %</x:v>
      </x:c>
    </x:row>
    <x:row r="128">
      <x:c r="A128" s="39" t="str">
        <x:v>AC_017</x:v>
      </x:c>
      <x:c r="B128" s="58" t="n">
        <x:v>2022</x:v>
      </x:c>
      <x:c r="C128" s="39" t="str">
        <x:v>Trois-Ilets</x:v>
      </x:c>
      <x:c r="D128" s="39" t="n">
        <x:v>70</x:v>
      </x:c>
      <x:c r="E128" s="39" t="str">
        <x:v>%</x:v>
      </x:c>
      <x:c r="F128" s="39" t="str">
        <x:v>25</x:v>
      </x:c>
      <x:c r="G128" s="39" t="str">
        <x:v>ODE</x:v>
      </x:c>
      <x:c r="H128" s="39" t="str">
        <x:v>Maximum communal indiqué</x:v>
      </x:c>
    </x:row>
    <x:row r="129">
      <x:c r="A129" s="39" t="str">
        <x:v>AC_017</x:v>
      </x:c>
      <x:c r="B129" s="58" t="n">
        <x:v>2022</x:v>
      </x:c>
      <x:c r="C129" s="39" t="str">
        <x:v>Rivière-Pilote</x:v>
      </x:c>
      <x:c r="D129" s="39" t="n">
        <x:v>4</x:v>
      </x:c>
      <x:c r="E129" s="39" t="str">
        <x:v>%</x:v>
      </x:c>
      <x:c r="F129" s="39" t="str">
        <x:v>25</x:v>
      </x:c>
      <x:c r="G129" s="39" t="str">
        <x:v>ODE</x:v>
      </x:c>
      <x:c r="H129" s="39" t="str">
        <x:v>Minimum communal indiqué</x:v>
      </x:c>
    </x:row>
    <x:row r="130">
      <x:c r="A130" s="39" t="str">
        <x:v>ANC_001</x:v>
      </x:c>
      <x:c r="B130" s="58" t="n">
        <x:v>2022</x:v>
      </x:c>
      <x:c r="C130" s="39" t="str">
        <x:v>Martinique</x:v>
      </x:c>
      <x:c r="D130" s="39" t="n">
        <x:v>57</x:v>
      </x:c>
      <x:c r="E130" s="39" t="str">
        <x:v>%</x:v>
      </x:c>
      <x:c r="F130" s="39" t="str">
        <x:v>26</x:v>
      </x:c>
      <x:c r="G130" s="39" t="str">
        <x:v>ODE</x:v>
      </x:c>
      <x:c r="H130" s="39" t="str">
        <x:v>Part ANC</x:v>
      </x:c>
    </x:row>
    <x:row r="131">
      <x:c r="A131" s="39" t="str">
        <x:v>ANC_002</x:v>
      </x:c>
      <x:c r="B131" s="58" t="n">
        <x:v>2022</x:v>
      </x:c>
      <x:c r="C131" s="39" t="str">
        <x:v>Martinique</x:v>
      </x:c>
      <x:c r="D131" s="39" t="n">
        <x:v>205898</x:v>
      </x:c>
      <x:c r="E131" s="39" t="str">
        <x:v>habitants</x:v>
      </x:c>
      <x:c r="F131" s="39" t="str">
        <x:v>26</x:v>
      </x:c>
      <x:c r="G131" s="39" t="str">
        <x:v>ODE</x:v>
      </x:c>
      <x:c r="H131" s="39" t="str"/>
    </x:row>
    <x:row r="132">
      <x:c r="A132" s="39" t="str">
        <x:v>ANC_003</x:v>
      </x:c>
      <x:c r="B132" s="58" t="n">
        <x:v>2022</x:v>
      </x:c>
      <x:c r="C132" s="39" t="str">
        <x:v>Martinique</x:v>
      </x:c>
      <x:c r="D132" s="39" t="n">
        <x:v>73000</x:v>
      </x:c>
      <x:c r="E132" s="39" t="str">
        <x:v>installations</x:v>
      </x:c>
      <x:c r="F132" s="39" t="str">
        <x:v>26,28</x:v>
      </x:c>
      <x:c r="G132" s="39" t="str">
        <x:v>ODE</x:v>
      </x:c>
      <x:c r="H132" s="39" t="str">
        <x:v>Estimation</x:v>
      </x:c>
    </x:row>
    <x:row r="133">
      <x:c r="A133" s="39" t="str">
        <x:v>ANC_005</x:v>
      </x:c>
      <x:c r="B133" s="58" t="n">
        <x:v>2022</x:v>
      </x:c>
      <x:c r="C133" s="39" t="str">
        <x:v>Martinique</x:v>
      </x:c>
      <x:c r="D133" s="39" t="n">
        <x:v>177</x:v>
      </x:c>
      <x:c r="E133" s="39" t="str">
        <x:v>stations</x:v>
      </x:c>
      <x:c r="F133" s="39" t="str">
        <x:v>28</x:v>
      </x:c>
      <x:c r="G133" s="39" t="str">
        <x:v>ODE</x:v>
      </x:c>
      <x:c r="H133" s="39" t="str">
        <x:v>Gestion privée</x:v>
      </x:c>
    </x:row>
    <x:row r="134">
      <x:c r="A134" s="39" t="str">
        <x:v>ANC_006</x:v>
      </x:c>
      <x:c r="B134" s="58" t="n">
        <x:v>2022</x:v>
      </x:c>
      <x:c r="C134" s="39" t="str">
        <x:v>Martinique</x:v>
      </x:c>
      <x:c r="D134" s="39" t="n">
        <x:v>33130</x:v>
      </x:c>
      <x:c r="E134" s="39" t="str">
        <x:v>EH</x:v>
      </x:c>
      <x:c r="F134" s="39" t="str">
        <x:v>28</x:v>
      </x:c>
      <x:c r="G134" s="39" t="str">
        <x:v>ODE</x:v>
      </x:c>
      <x:c r="H134" s="39" t="str">
        <x:v>Capacité privée cumulée</x:v>
      </x:c>
    </x:row>
    <x:row r="135">
      <x:c r="A135" s="39" t="str">
        <x:v>ANC_007</x:v>
      </x:c>
      <x:c r="B135" s="58" t="n">
        <x:v>2022</x:v>
      </x:c>
      <x:c r="C135" s="39" t="str">
        <x:v>Martinique</x:v>
      </x:c>
      <x:c r="D135" s="39" t="n">
        <x:v>9</x:v>
      </x:c>
      <x:c r="E135" s="39" t="str">
        <x:v>%</x:v>
      </x:c>
      <x:c r="F135" s="39" t="str">
        <x:v>28</x:v>
      </x:c>
      <x:c r="G135" s="39" t="str">
        <x:v>ODE</x:v>
      </x:c>
      <x:c r="H135" s="39" t="str">
        <x:v>Part capacité publique</x:v>
      </x:c>
    </x:row>
    <x:row r="136">
      <x:c r="A136" s="39" t="str">
        <x:v>ANC_008</x:v>
      </x:c>
      <x:c r="B136" s="58" t="n">
        <x:v>2022</x:v>
      </x:c>
      <x:c r="C136" s="39" t="str">
        <x:v>Martinique</x:v>
      </x:c>
      <x:c r="D136" s="39" t="n">
        <x:v>88</x:v>
      </x:c>
      <x:c r="E136" s="39" t="str">
        <x:v>%</x:v>
      </x:c>
      <x:c r="F136" s="39" t="str">
        <x:v>28</x:v>
      </x:c>
      <x:c r="G136" s="39" t="str">
        <x:v>ODE</x:v>
      </x:c>
      <x:c r="H136" s="39" t="str">
        <x:v>Stations privées &lt;500 EH</x:v>
      </x:c>
    </x:row>
    <x:row r="137">
      <x:c r="A137" s="39" t="str">
        <x:v>ANC_009</x:v>
      </x:c>
      <x:c r="B137" s="58" t="n">
        <x:v>2020</x:v>
      </x:c>
      <x:c r="C137" s="39" t="str">
        <x:v>Martinique</x:v>
      </x:c>
      <x:c r="D137" s="39" t="n">
        <x:v>4</x:v>
      </x:c>
      <x:c r="E137" s="39" t="str">
        <x:v>%</x:v>
      </x:c>
      <x:c r="F137" s="39" t="str">
        <x:v>28</x:v>
      </x:c>
      <x:c r="G137" s="39" t="str">
        <x:v>ODE</x:v>
      </x:c>
      <x:c r="H137" s="39" t="str">
        <x:v>Part ayant transmis données de conformité</x:v>
      </x:c>
    </x:row>
    <x:row r="138">
      <x:c r="A138" s="39" t="str">
        <x:v>ANC_010</x:v>
      </x:c>
      <x:c r="B138" s="58" t="n">
        <x:v>2020</x:v>
      </x:c>
      <x:c r="C138" s="39" t="str">
        <x:v>Martinique</x:v>
      </x:c>
      <x:c r="D138" s="39" t="n">
        <x:v>1123</x:v>
      </x:c>
      <x:c r="E138" s="39" t="str">
        <x:v>contrôles</x:v>
      </x:c>
      <x:c r="F138" s="39" t="str">
        <x:v>29</x:v>
      </x:c>
      <x:c r="G138" s="39" t="str">
        <x:v>SPANC</x:v>
      </x:c>
      <x:c r="H138" s="39" t="str">
        <x:v>Neuf</x:v>
      </x:c>
    </x:row>
    <x:row r="139">
      <x:c r="A139" s="39" t="str">
        <x:v>ANC_010</x:v>
      </x:c>
      <x:c r="B139" s="58" t="n">
        <x:v>2021</x:v>
      </x:c>
      <x:c r="C139" s="39" t="str">
        <x:v>Martinique</x:v>
      </x:c>
      <x:c r="D139" s="39" t="n">
        <x:v>1210</x:v>
      </x:c>
      <x:c r="E139" s="39" t="str">
        <x:v>contrôles</x:v>
      </x:c>
      <x:c r="F139" s="39" t="str">
        <x:v>29</x:v>
      </x:c>
      <x:c r="G139" s="39" t="str">
        <x:v>SPANC</x:v>
      </x:c>
      <x:c r="H139" s="39" t="str">
        <x:v>Neuf</x:v>
      </x:c>
    </x:row>
    <x:row r="140">
      <x:c r="A140" s="39" t="str">
        <x:v>ANC_010</x:v>
      </x:c>
      <x:c r="B140" s="58" t="n">
        <x:v>2022</x:v>
      </x:c>
      <x:c r="C140" s="39" t="str">
        <x:v>Martinique</x:v>
      </x:c>
      <x:c r="D140" s="39" t="n">
        <x:v>1007</x:v>
      </x:c>
      <x:c r="E140" s="39" t="str">
        <x:v>contrôles</x:v>
      </x:c>
      <x:c r="F140" s="39" t="str">
        <x:v>29</x:v>
      </x:c>
      <x:c r="G140" s="39" t="str">
        <x:v>SPANC</x:v>
      </x:c>
      <x:c r="H140" s="39" t="str">
        <x:v>Neuf</x:v>
      </x:c>
    </x:row>
    <x:row r="141">
      <x:c r="A141" s="39" t="str">
        <x:v>ANC_011</x:v>
      </x:c>
      <x:c r="B141" s="58" t="n">
        <x:v>2020</x:v>
      </x:c>
      <x:c r="C141" s="39" t="str">
        <x:v>Martinique</x:v>
      </x:c>
      <x:c r="D141" s="39" t="n">
        <x:v>532</x:v>
      </x:c>
      <x:c r="E141" s="39" t="str">
        <x:v>contrôles</x:v>
      </x:c>
      <x:c r="F141" s="39" t="str">
        <x:v>29</x:v>
      </x:c>
      <x:c r="G141" s="39" t="str">
        <x:v>SPANC</x:v>
      </x:c>
      <x:c r="H141" s="39" t="str">
        <x:v>Existant</x:v>
      </x:c>
    </x:row>
    <x:row r="142">
      <x:c r="A142" s="39" t="str">
        <x:v>ANC_011</x:v>
      </x:c>
      <x:c r="B142" s="58" t="n">
        <x:v>2021</x:v>
      </x:c>
      <x:c r="C142" s="39" t="str">
        <x:v>Martinique</x:v>
      </x:c>
      <x:c r="D142" s="39" t="n">
        <x:v>672</x:v>
      </x:c>
      <x:c r="E142" s="39" t="str">
        <x:v>contrôles</x:v>
      </x:c>
      <x:c r="F142" s="39" t="str">
        <x:v>29</x:v>
      </x:c>
      <x:c r="G142" s="39" t="str">
        <x:v>SPANC</x:v>
      </x:c>
      <x:c r="H142" s="39" t="str">
        <x:v>Existant</x:v>
      </x:c>
    </x:row>
    <x:row r="143">
      <x:c r="A143" s="39" t="str">
        <x:v>ANC_011</x:v>
      </x:c>
      <x:c r="B143" s="58" t="n">
        <x:v>2022</x:v>
      </x:c>
      <x:c r="C143" s="39" t="str">
        <x:v>Martinique</x:v>
      </x:c>
      <x:c r="D143" s="39" t="n">
        <x:v>591</x:v>
      </x:c>
      <x:c r="E143" s="39" t="str">
        <x:v>contrôles</x:v>
      </x:c>
      <x:c r="F143" s="39" t="str">
        <x:v>29</x:v>
      </x:c>
      <x:c r="G143" s="39" t="str">
        <x:v>SPANC</x:v>
      </x:c>
      <x:c r="H143" s="39" t="str">
        <x:v>Existant</x:v>
      </x:c>
    </x:row>
    <x:row r="144">
      <x:c r="A144" s="39" t="str">
        <x:v>ANC_012</x:v>
      </x:c>
      <x:c r="B144" s="58" t="n">
        <x:v>2020</x:v>
      </x:c>
      <x:c r="C144" s="39" t="str">
        <x:v>CAESM</x:v>
      </x:c>
      <x:c r="D144" s="39" t="n">
        <x:v>788</x:v>
      </x:c>
      <x:c r="E144" s="39" t="str">
        <x:v>contrôles</x:v>
      </x:c>
      <x:c r="F144" s="39" t="str">
        <x:v>29</x:v>
      </x:c>
      <x:c r="G144" s="39" t="str">
        <x:v>SPANC</x:v>
      </x:c>
      <x:c r="H144" s="39" t="str">
        <x:v>Graphique</x:v>
      </x:c>
    </x:row>
    <x:row r="145">
      <x:c r="A145" s="39" t="str">
        <x:v>ANC_012</x:v>
      </x:c>
      <x:c r="B145" s="58" t="n">
        <x:v>2021</x:v>
      </x:c>
      <x:c r="C145" s="39" t="str">
        <x:v>CAESM</x:v>
      </x:c>
      <x:c r="D145" s="39" t="n">
        <x:v>868</x:v>
      </x:c>
      <x:c r="E145" s="39" t="str">
        <x:v>contrôles</x:v>
      </x:c>
      <x:c r="F145" s="39" t="str">
        <x:v>29</x:v>
      </x:c>
      <x:c r="G145" s="39" t="str">
        <x:v>SPANC</x:v>
      </x:c>
      <x:c r="H145" s="39" t="str">
        <x:v>Graphique</x:v>
      </x:c>
    </x:row>
    <x:row r="146">
      <x:c r="A146" s="39" t="str">
        <x:v>ANC_012</x:v>
      </x:c>
      <x:c r="B146" s="58" t="n">
        <x:v>2020</x:v>
      </x:c>
      <x:c r="C146" s="39" t="str">
        <x:v>CACEM</x:v>
      </x:c>
      <x:c r="D146" s="39" t="n">
        <x:v>621</x:v>
      </x:c>
      <x:c r="E146" s="39" t="str">
        <x:v>contrôles</x:v>
      </x:c>
      <x:c r="F146" s="39" t="str">
        <x:v>29</x:v>
      </x:c>
      <x:c r="G146" s="39" t="str">
        <x:v>SPANC</x:v>
      </x:c>
      <x:c r="H146" s="39" t="str">
        <x:v>Graphique</x:v>
      </x:c>
    </x:row>
    <x:row r="147">
      <x:c r="A147" s="39" t="str">
        <x:v>ANC_012</x:v>
      </x:c>
      <x:c r="B147" s="58" t="n">
        <x:v>2021</x:v>
      </x:c>
      <x:c r="C147" s="39" t="str">
        <x:v>CACEM</x:v>
      </x:c>
      <x:c r="D147" s="39" t="n">
        <x:v>311</x:v>
      </x:c>
      <x:c r="E147" s="39" t="str">
        <x:v>contrôles</x:v>
      </x:c>
      <x:c r="F147" s="39" t="str">
        <x:v>29</x:v>
      </x:c>
      <x:c r="G147" s="39" t="str">
        <x:v>SPANC</x:v>
      </x:c>
      <x:c r="H147" s="39" t="str">
        <x:v>Graphique</x:v>
      </x:c>
    </x:row>
    <x:row r="148">
      <x:c r="A148" s="39" t="str">
        <x:v>ANC_012</x:v>
      </x:c>
      <x:c r="B148" s="58" t="n">
        <x:v>2020</x:v>
      </x:c>
      <x:c r="C148" s="39" t="str">
        <x:v>CAP Nord</x:v>
      </x:c>
      <x:c r="D148" s="39" t="n">
        <x:v>473</x:v>
      </x:c>
      <x:c r="E148" s="39" t="str">
        <x:v>contrôles</x:v>
      </x:c>
      <x:c r="F148" s="39" t="str">
        <x:v>29</x:v>
      </x:c>
      <x:c r="G148" s="39" t="str">
        <x:v>SPANC</x:v>
      </x:c>
      <x:c r="H148" s="39" t="str">
        <x:v>Graphique</x:v>
      </x:c>
    </x:row>
    <x:row r="149">
      <x:c r="A149" s="39" t="str">
        <x:v>ANC_012</x:v>
      </x:c>
      <x:c r="B149" s="58" t="n">
        <x:v>2021</x:v>
      </x:c>
      <x:c r="C149" s="39" t="str">
        <x:v>CAP Nord</x:v>
      </x:c>
      <x:c r="D149" s="39" t="n">
        <x:v>419</x:v>
      </x:c>
      <x:c r="E149" s="39" t="str">
        <x:v>contrôles</x:v>
      </x:c>
      <x:c r="F149" s="39" t="str">
        <x:v>29</x:v>
      </x:c>
      <x:c r="G149" s="39" t="str">
        <x:v>SPANC</x:v>
      </x:c>
      <x:c r="H149" s="39" t="str">
        <x:v>Graphique</x:v>
      </x:c>
    </x:row>
    <x:row r="150">
      <x:c r="A150" s="39" t="str">
        <x:v>ANC_014</x:v>
      </x:c>
      <x:c r="B150" s="58" t="n">
        <x:v>2020</x:v>
      </x:c>
      <x:c r="C150" s="39" t="str">
        <x:v>Martinique</x:v>
      </x:c>
      <x:c r="D150" s="39" t="str">
        <x:v>500–700</x:v>
      </x:c>
      <x:c r="E150" s="39" t="str">
        <x:v>€</x:v>
      </x:c>
      <x:c r="F150" s="39" t="str">
        <x:v>30</x:v>
      </x:c>
      <x:c r="G150" s="39" t="str">
        <x:v>Étude ODE</x:v>
      </x:c>
      <x:c r="H150" s="39" t="str">
        <x:v>Fourchette vidange</x:v>
      </x:c>
    </x:row>
    <x:row r="151">
      <x:c r="A151" s="39" t="str">
        <x:v>ANC_014</x:v>
      </x:c>
      <x:c r="B151" s="58" t="n">
        <x:v>2020</x:v>
      </x:c>
      <x:c r="C151" s="39" t="str">
        <x:v>Guadeloupe</x:v>
      </x:c>
      <x:c r="D151" s="39" t="str">
        <x:v>300–450</x:v>
      </x:c>
      <x:c r="E151" s="39" t="str">
        <x:v>€</x:v>
      </x:c>
      <x:c r="F151" s="39" t="str">
        <x:v>30</x:v>
      </x:c>
      <x:c r="G151" s="39" t="str">
        <x:v>Étude ODE</x:v>
      </x:c>
      <x:c r="H151" s="39" t="str"/>
    </x:row>
    <x:row r="152">
      <x:c r="A152" s="39" t="str">
        <x:v>ANC_014</x:v>
      </x:c>
      <x:c r="B152" s="58" t="n">
        <x:v>2020</x:v>
      </x:c>
      <x:c r="C152" s="39" t="str">
        <x:v>France</x:v>
      </x:c>
      <x:c r="D152" s="39" t="str">
        <x:v>150–300</x:v>
      </x:c>
      <x:c r="E152" s="39" t="str">
        <x:v>€</x:v>
      </x:c>
      <x:c r="F152" s="39" t="str">
        <x:v>30</x:v>
      </x:c>
      <x:c r="G152" s="39" t="str">
        <x:v>Étude ODE</x:v>
      </x:c>
      <x:c r="H152" s="39" t="str"/>
    </x:row>
    <x:row r="153">
      <x:c r="A153" s="39" t="str">
        <x:v>ANC_015</x:v>
      </x:c>
      <x:c r="B153" s="58" t="n">
        <x:v>2022</x:v>
      </x:c>
      <x:c r="C153" s="39" t="str">
        <x:v>Martinique</x:v>
      </x:c>
      <x:c r="D153" s="39" t="n">
        <x:v>16</x:v>
      </x:c>
      <x:c r="E153" s="39" t="str">
        <x:v>entreprises</x:v>
      </x:c>
      <x:c r="F153" s="39" t="str">
        <x:v>30</x:v>
      </x:c>
      <x:c r="G153" s="39" t="str">
        <x:v>DEAL</x:v>
      </x:c>
      <x:c r="H153" s="39" t="str">
        <x:v>Vidangeurs agréés</x:v>
      </x:c>
    </x:row>
    <x:row r="154">
      <x:c r="A154" s="39" t="str">
        <x:v>TAR_001</x:v>
      </x:c>
      <x:c r="B154" s="58" t="n">
        <x:v>2022</x:v>
      </x:c>
      <x:c r="C154" s="39" t="str">
        <x:v>Martinique</x:v>
      </x:c>
      <x:c r="D154" s="39" t="n">
        <x:v>2.83</x:v>
      </x:c>
      <x:c r="E154" s="39" t="str">
        <x:v>€/m³</x:v>
      </x:c>
      <x:c r="F154" s="39" t="str">
        <x:v>31</x:v>
      </x:c>
      <x:c r="G154" s="39" t="str">
        <x:v>Facture type</x:v>
      </x:c>
      <x:c r="H154" s="39" t="str">
        <x:v>EP, base 120 m³</x:v>
      </x:c>
    </x:row>
    <x:row r="155">
      <x:c r="A155" s="39" t="str">
        <x:v>TAR_001</x:v>
      </x:c>
      <x:c r="B155" s="58" t="n">
        <x:v>2022</x:v>
      </x:c>
      <x:c r="C155" s="39" t="str">
        <x:v>France</x:v>
      </x:c>
      <x:c r="D155" s="39" t="n">
        <x:v>2.21</x:v>
      </x:c>
      <x:c r="E155" s="39" t="str">
        <x:v>€/m³</x:v>
      </x:c>
      <x:c r="F155" s="39" t="str">
        <x:v>31</x:v>
      </x:c>
      <x:c r="G155" s="39" t="str">
        <x:v>Référence nationale</x:v>
      </x:c>
      <x:c r="H155" s="39" t="str"/>
    </x:row>
    <x:row r="156">
      <x:c r="A156" s="39" t="str">
        <x:v>TAR_002</x:v>
      </x:c>
      <x:c r="B156" s="58" t="n">
        <x:v>2022</x:v>
      </x:c>
      <x:c r="C156" s="39" t="str">
        <x:v>Martinique</x:v>
      </x:c>
      <x:c r="D156" s="39" t="n">
        <x:v>339.17</x:v>
      </x:c>
      <x:c r="E156" s="39" t="str">
        <x:v>€/an</x:v>
      </x:c>
      <x:c r="F156" s="39" t="str">
        <x:v>31</x:v>
      </x:c>
      <x:c r="G156" s="39" t="str">
        <x:v>Facture type</x:v>
      </x:c>
      <x:c r="H156" s="39" t="str"/>
    </x:row>
    <x:row r="157">
      <x:c r="A157" s="39" t="str">
        <x:v>TAR_003</x:v>
      </x:c>
      <x:c r="B157" s="58" t="n">
        <x:v>2022</x:v>
      </x:c>
      <x:c r="C157" s="39" t="str">
        <x:v>Martinique</x:v>
      </x:c>
      <x:c r="D157" s="39" t="n">
        <x:v>28.26</x:v>
      </x:c>
      <x:c r="E157" s="39" t="str">
        <x:v>€/mois</x:v>
      </x:c>
      <x:c r="F157" s="39" t="str">
        <x:v>31</x:v>
      </x:c>
      <x:c r="G157" s="39" t="str">
        <x:v>Calcul ODE</x:v>
      </x:c>
      <x:c r="H157" s="39" t="str"/>
    </x:row>
    <x:row r="158">
      <x:c r="A158" s="39" t="str">
        <x:v>TAR_004</x:v>
      </x:c>
      <x:c r="B158" s="58" t="n">
        <x:v>2022</x:v>
      </x:c>
      <x:c r="C158" s="39" t="str">
        <x:v>Martinique - abonnement</x:v>
      </x:c>
      <x:c r="D158" s="39" t="n">
        <x:v>20</x:v>
      </x:c>
      <x:c r="E158" s="39" t="str">
        <x:v>%</x:v>
      </x:c>
      <x:c r="F158" s="39" t="str">
        <x:v>31</x:v>
      </x:c>
      <x:c r="G158" s="39" t="str">
        <x:v>Facture type</x:v>
      </x:c>
      <x:c r="H158" s="39" t="str"/>
    </x:row>
    <x:row r="159">
      <x:c r="A159" s="39" t="str">
        <x:v>TAR_004</x:v>
      </x:c>
      <x:c r="B159" s="58" t="n">
        <x:v>2022</x:v>
      </x:c>
      <x:c r="C159" s="39" t="str">
        <x:v>Martinique - consommation</x:v>
      </x:c>
      <x:c r="D159" s="39" t="n">
        <x:v>65</x:v>
      </x:c>
      <x:c r="E159" s="39" t="str">
        <x:v>%</x:v>
      </x:c>
      <x:c r="F159" s="39" t="str">
        <x:v>31</x:v>
      </x:c>
      <x:c r="G159" s="39" t="str">
        <x:v>Facture type</x:v>
      </x:c>
      <x:c r="H159" s="39" t="str"/>
    </x:row>
    <x:row r="160">
      <x:c r="A160" s="39" t="str">
        <x:v>TAR_004</x:v>
      </x:c>
      <x:c r="B160" s="58" t="n">
        <x:v>2022</x:v>
      </x:c>
      <x:c r="C160" s="39" t="str">
        <x:v>Martinique - redevance ODE</x:v>
      </x:c>
      <x:c r="D160" s="39" t="n">
        <x:v>11</x:v>
      </x:c>
      <x:c r="E160" s="39" t="str">
        <x:v>%</x:v>
      </x:c>
      <x:c r="F160" s="39" t="str">
        <x:v>31</x:v>
      </x:c>
      <x:c r="G160" s="39" t="str">
        <x:v>Facture type</x:v>
      </x:c>
      <x:c r="H160" s="39" t="str"/>
    </x:row>
    <x:row r="161">
      <x:c r="A161" s="39" t="str">
        <x:v>TAR_004</x:v>
      </x:c>
      <x:c r="B161" s="58" t="n">
        <x:v>2022</x:v>
      </x:c>
      <x:c r="C161" s="39" t="str">
        <x:v>Martinique - TVA/ODM</x:v>
      </x:c>
      <x:c r="D161" s="39" t="n">
        <x:v>4</x:v>
      </x:c>
      <x:c r="E161" s="39" t="str">
        <x:v>%</x:v>
      </x:c>
      <x:c r="F161" s="39" t="str">
        <x:v>31</x:v>
      </x:c>
      <x:c r="G161" s="39" t="str">
        <x:v>Facture type</x:v>
      </x:c>
      <x:c r="H161" s="39" t="str"/>
    </x:row>
    <x:row r="162">
      <x:c r="A162" s="39" t="str">
        <x:v>TAR_005</x:v>
      </x:c>
      <x:c r="B162" s="58" t="n">
        <x:v>2022</x:v>
      </x:c>
      <x:c r="C162" s="39" t="str">
        <x:v>Martinique</x:v>
      </x:c>
      <x:c r="D162" s="39" t="n">
        <x:v>5.91</x:v>
      </x:c>
      <x:c r="E162" s="39" t="str">
        <x:v>€/m³</x:v>
      </x:c>
      <x:c r="F162" s="39" t="str">
        <x:v>31</x:v>
      </x:c>
      <x:c r="G162" s="39" t="str">
        <x:v>Facture type</x:v>
      </x:c>
      <x:c r="H162" s="39" t="str">
        <x:v>EP+AC</x:v>
      </x:c>
    </x:row>
    <x:row r="163">
      <x:c r="A163" s="39" t="str">
        <x:v>TAR_005</x:v>
      </x:c>
      <x:c r="B163" s="58" t="n">
        <x:v>2022</x:v>
      </x:c>
      <x:c r="C163" s="39" t="str">
        <x:v>France</x:v>
      </x:c>
      <x:c r="D163" s="39" t="n">
        <x:v>4.52</x:v>
      </x:c>
      <x:c r="E163" s="39" t="str">
        <x:v>€/m³</x:v>
      </x:c>
      <x:c r="F163" s="39" t="str">
        <x:v>31</x:v>
      </x:c>
      <x:c r="G163" s="39" t="str">
        <x:v>Référence nationale</x:v>
      </x:c>
      <x:c r="H163" s="39" t="str"/>
    </x:row>
    <x:row r="164">
      <x:c r="A164" s="39" t="str">
        <x:v>TAR_006</x:v>
      </x:c>
      <x:c r="B164" s="58" t="n">
        <x:v>2022</x:v>
      </x:c>
      <x:c r="C164" s="39" t="str">
        <x:v>Martinique</x:v>
      </x:c>
      <x:c r="D164" s="39" t="n">
        <x:v>708.58</x:v>
      </x:c>
      <x:c r="E164" s="39" t="str">
        <x:v>€/an</x:v>
      </x:c>
      <x:c r="F164" s="39" t="str">
        <x:v>31</x:v>
      </x:c>
      <x:c r="G164" s="39" t="str">
        <x:v>Facture type</x:v>
      </x:c>
      <x:c r="H164" s="39" t="str"/>
    </x:row>
    <x:row r="165">
      <x:c r="A165" s="39" t="str">
        <x:v>TAR_007</x:v>
      </x:c>
      <x:c r="B165" s="58" t="n">
        <x:v>2022</x:v>
      </x:c>
      <x:c r="C165" s="39" t="str">
        <x:v>Martinique</x:v>
      </x:c>
      <x:c r="D165" s="39" t="n">
        <x:v>59.04</x:v>
      </x:c>
      <x:c r="E165" s="39" t="str">
        <x:v>€/mois</x:v>
      </x:c>
      <x:c r="F165" s="39" t="str">
        <x:v>31</x:v>
      </x:c>
      <x:c r="G165" s="39" t="str">
        <x:v>Calcul ODE</x:v>
      </x:c>
      <x:c r="H165" s="39" t="str"/>
    </x:row>
    <x:row r="166">
      <x:c r="A166" s="39" t="str">
        <x:v>TAR_008</x:v>
      </x:c>
      <x:c r="B166" s="58" t="n">
        <x:v>2022</x:v>
      </x:c>
      <x:c r="C166" s="39" t="str">
        <x:v>Martinique - eau potable</x:v>
      </x:c>
      <x:c r="D166" s="39" t="n">
        <x:v>40</x:v>
      </x:c>
      <x:c r="E166" s="39" t="str">
        <x:v>%</x:v>
      </x:c>
      <x:c r="F166" s="39" t="str">
        <x:v>31</x:v>
      </x:c>
      <x:c r="G166" s="39" t="str">
        <x:v>Facture type</x:v>
      </x:c>
      <x:c r="H166" s="39" t="str"/>
    </x:row>
    <x:row r="167">
      <x:c r="A167" s="39" t="str">
        <x:v>TAR_008</x:v>
      </x:c>
      <x:c r="B167" s="58" t="n">
        <x:v>2022</x:v>
      </x:c>
      <x:c r="C167" s="39" t="str">
        <x:v>Martinique - assainissement collectif</x:v>
      </x:c>
      <x:c r="D167" s="39" t="n">
        <x:v>49</x:v>
      </x:c>
      <x:c r="E167" s="39" t="str">
        <x:v>%</x:v>
      </x:c>
      <x:c r="F167" s="39" t="str">
        <x:v>31</x:v>
      </x:c>
      <x:c r="G167" s="39" t="str">
        <x:v>Facture type</x:v>
      </x:c>
      <x:c r="H167" s="39" t="str"/>
    </x:row>
    <x:row r="168">
      <x:c r="A168" s="39" t="str">
        <x:v>TAR_008</x:v>
      </x:c>
      <x:c r="B168" s="58" t="n">
        <x:v>2022</x:v>
      </x:c>
      <x:c r="C168" s="39" t="str">
        <x:v>Martinique - redevance ODE</x:v>
      </x:c>
      <x:c r="D168" s="39" t="n">
        <x:v>8</x:v>
      </x:c>
      <x:c r="E168" s="39" t="str">
        <x:v>%</x:v>
      </x:c>
      <x:c r="F168" s="39" t="str">
        <x:v>31</x:v>
      </x:c>
      <x:c r="G168" s="39" t="str">
        <x:v>Facture type</x:v>
      </x:c>
      <x:c r="H168" s="39" t="str"/>
    </x:row>
    <x:row r="169">
      <x:c r="A169" s="39" t="str">
        <x:v>TAR_008</x:v>
      </x:c>
      <x:c r="B169" s="58" t="n">
        <x:v>2022</x:v>
      </x:c>
      <x:c r="C169" s="39" t="str">
        <x:v>Martinique - TVA/ODM</x:v>
      </x:c>
      <x:c r="D169" s="39" t="n">
        <x:v>3</x:v>
      </x:c>
      <x:c r="E169" s="39" t="str">
        <x:v>%</x:v>
      </x:c>
      <x:c r="F169" s="39" t="str">
        <x:v>31</x:v>
      </x:c>
      <x:c r="G169" s="39" t="str">
        <x:v>Facture type</x:v>
      </x:c>
      <x:c r="H169" s="39" t="str"/>
    </x:row>
  </x:sheetData>
  <x:pageMargins left="0.7" right="0.7" top="0.75" bottom="0.75" header="0.3" footer="0.3"/>
  <x:tableParts count="1">
    <x:tablePart xmlns:r="http://schemas.openxmlformats.org/officeDocument/2006/relationships" r:id="R30f0d274c4344c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26" hidden="0" customWidth="1"/>
    <x:col min="4" max="4" width="18" hidden="0" customWidth="1"/>
    <x:col min="5" max="5" width="60" hidden="0" customWidth="1"/>
    <x:col min="6" max="6" width="45" hidden="0" customWidth="1"/>
  </x:cols>
  <x:sheetData>
    <x:row r="1">
      <x:c r="A1" s="38" t="str">
        <x:v>Source</x:v>
      </x:c>
      <x:c r="B1" s="38" t="str">
        <x:v>Périmètre</x:v>
      </x:c>
      <x:c r="C1" s="38" t="str">
        <x:v>Accès</x:v>
      </x:c>
      <x:c r="D1" s="38" t="str">
        <x:v>Automatisation</x:v>
      </x:c>
      <x:c r="E1" s="38" t="str">
        <x:v>Usage recommandé / vigilance</x:v>
      </x:c>
      <x:c r="F1" s="38" t="str">
        <x:v>URL</x:v>
      </x:c>
    </x:row>
    <x:row r="2">
      <x:c r="A2" s="39" t="str">
        <x:v>SISPEA Open Data</x:v>
      </x:c>
      <x:c r="B2" s="39" t="str">
        <x:v>Services publics d'eau potable, AC, ANC : description, variables, indicateurs, tarifs</x:v>
      </x:c>
      <x:c r="C2" s="39" t="str">
        <x:v>Fichiers annuels XLS/ODS, générés chaque semaine</x:v>
      </x:c>
      <x:c r="D2" s="39" t="str">
        <x:v>AUTO</x:v>
      </x:c>
      <x:c r="E2" s="39" t="str">
        <x:v>Source principale des services publics ; conserver dictionnaire et métadonnées de chaque millésime.</x:v>
      </x:c>
      <x:c r="F2" s="39" t="str">
        <x:v>https://www.services.eaufrance.fr/pro/telechargement</x:v>
      </x:c>
    </x:row>
    <x:row r="3">
      <x:c r="A3" s="39" t="str">
        <x:v>SISPEA variables EP</x:v>
      </x:c>
      <x:c r="B3" s="39" t="str">
        <x:v>Variables élémentaires eau potable</x:v>
      </x:c>
      <x:c r="C3" s="39" t="str">
        <x:v>Page de référence</x:v>
      </x:c>
      <x:c r="D3" s="39" t="str">
        <x:v>AUTO</x:v>
      </x:c>
      <x:c r="E3" s="39" t="str">
        <x:v>Codes utiles : VP.056, VP.059, VP.062, VP.068, VP.077, variables qualité et tarifs.</x:v>
      </x:c>
      <x:c r="F3" s="39" t="str">
        <x:v>https://www.services.eaufrance.fr/les-variables-de-performance-des-services-d-eau-potable</x:v>
      </x:c>
    </x:row>
    <x:row r="4">
      <x:c r="A4" s="39" t="str">
        <x:v>SISPEA variables AC</x:v>
      </x:c>
      <x:c r="B4" s="39" t="str">
        <x:v>Variables élémentaires assainissement collectif</x:v>
      </x:c>
      <x:c r="C4" s="39" t="str">
        <x:v>Page de référence</x:v>
      </x:c>
      <x:c r="D4" s="39" t="str">
        <x:v>AUTO</x:v>
      </x:c>
      <x:c r="E4" s="39" t="str">
        <x:v>Codes utiles : VP.056, VP.068, VP.077, VP.208, variables tarifs.</x:v>
      </x:c>
      <x:c r="F4" s="39" t="str">
        <x:v>https://www.services.eaufrance.fr/liste-des-variables-de-performances-des-services-d-assainissement-collectif</x:v>
      </x:c>
    </x:row>
    <x:row r="5">
      <x:c r="A5" s="39" t="str">
        <x:v>SISPEA variables ANC</x:v>
      </x:c>
      <x:c r="B5" s="39" t="str">
        <x:v>Variables SPANC / PANANC</x:v>
      </x:c>
      <x:c r="C5" s="39" t="str">
        <x:v>Page de référence</x:v>
      </x:c>
      <x:c r="D5" s="39" t="str">
        <x:v>AUTO/SEMI-AUTO</x:v>
      </x:c>
      <x:c r="E5" s="39" t="str">
        <x:v>Codes utiles : D301.0, VP.230, DC.306, P301.3, DC.332, DC.333, VP.334.</x:v>
      </x:c>
      <x:c r="F5" s="39" t="str">
        <x:v>https://www.services.eaufrance.fr/liste-des-variables-d-assainissement-non-collectif</x:v>
      </x:c>
    </x:row>
    <x:row r="6">
      <x:c r="A6" s="39" t="str">
        <x:v>BNPE / Hub'Eau Prélèvements</x:v>
      </x:c>
      <x:c r="B6" s="39" t="str">
        <x:v>Volumes annuels prélevés par ouvrage/localisation/usage</x:v>
      </x:c>
      <x:c r="C6" s="39" t="str">
        <x:v>API REST JSON/GeoJSON/CSV</x:v>
      </x:c>
      <x:c r="D6" s="39" t="str">
        <x:v>AUTO</x:v>
      </x:c>
      <x:c r="E6" s="39" t="str">
        <x:v>Source principale pour les prélèvements tous usages et par ouvrage.</x:v>
      </x:c>
      <x:c r="F6" s="39" t="str">
        <x:v>https://www.data.gouv.fr/dataservices/hubeau-prelevements-en-eau</x:v>
      </x:c>
    </x:row>
    <x:row r="7">
      <x:c r="A7" s="39" t="str">
        <x:v>Référentiel ouvrages de prélèvement Martinique</x:v>
      </x:c>
      <x:c r="B7" s="39" t="str">
        <x:v>Caractéristiques/localisation des ouvrages</x:v>
      </x:c>
      <x:c r="C7" s="39" t="str">
        <x:v>Jeu de données SIE / SANDRE / BNPE</x:v>
      </x:c>
      <x:c r="D7" s="39" t="str">
        <x:v>AUTO/SEMI-AUTO</x:v>
      </x:c>
      <x:c r="E7" s="39" t="str">
        <x:v>À utiliser avec prudence : la liste nationale peut ne pas être exhaustive de tous les points d'eau existants.</x:v>
      </x:c>
      <x:c r="F7" s="39" t="str">
        <x:v>https://www.data.gouv.fr/datasets/ouvrages-de-prelevement-martinique-1</x:v>
      </x:c>
    </x:row>
    <x:row r="8">
      <x:c r="A8" s="39" t="str">
        <x:v>Portail national assainissement collectif</x:v>
      </x:c>
      <x:c r="B8" s="39" t="str">
        <x:v>STEU, capacité, charge, boues, conformités équipement/performance/collecte</x:v>
      </x:c>
      <x:c r="C8" s="39" t="str">
        <x:v>Export national / fiches</x:v>
      </x:c>
      <x:c r="D8" s="39" t="str">
        <x:v>AUTO/SEMI-AUTO</x:v>
      </x:c>
      <x:c r="E8" s="39" t="str">
        <x:v>Source prioritaire pour la conformité ERU ; contrôler les petites stations avec DEAL/ODE.</x:v>
      </x:c>
      <x:c r="F8" s="39" t="str">
        <x:v>https://assainissement.developpement-durable.gouv.fr/pages/data/basededonneesteu.php</x:v>
      </x:c>
    </x:row>
    <x:row r="9">
      <x:c r="A9" s="39" t="str">
        <x:v>Qualité eau potable DGS / ARS</x:v>
      </x:c>
      <x:c r="B9" s="39" t="str">
        <x:v>Résultats du contrôle sanitaire de l'eau distribuée</x:v>
      </x:c>
      <x:c r="C9" s="39" t="str">
        <x:v>API Hub'Eau + portail santé</x:v>
      </x:c>
      <x:c r="D9" s="39" t="str">
        <x:v>SEMI-AUTO</x:v>
      </x:c>
      <x:c r="E9" s="39" t="str">
        <x:v>À utiliser comme contrôle ou granularité fine. En 2026, une anomalie globale a été signalée sur le jeu Hub'Eau ; SISPEA P101.1/P102.1 reste préférable pour l'indicateur annuel consolidé.</x:v>
      </x:c>
      <x:c r="F9" s="39" t="str">
        <x:v>https://www.data.gouv.fr/dataservices/hubeau-qualite-de-leau-potable</x:v>
      </x:c>
    </x:row>
    <x:row r="10">
      <x:c r="A10" s="39" t="str">
        <x:v>INSEE</x:v>
      </x:c>
      <x:c r="B10" s="39" t="str">
        <x:v>Population de référence / communale</x:v>
      </x:c>
      <x:c r="C10" s="39" t="str">
        <x:v>CSV/XLSX</x:v>
      </x:c>
      <x:c r="D10" s="39" t="str">
        <x:v>AUTO</x:v>
      </x:c>
      <x:c r="E10" s="39" t="str">
        <x:v>Nécessaire pour les indicateurs par habitant et certaines répartitions territoriales.</x:v>
      </x:c>
      <x:c r="F10" s="39" t="str">
        <x:v>https://www.insee.fr/fr/statistiques/8680726</x:v>
      </x:c>
    </x:row>
    <x:row r="11">
      <x:c r="A11" s="39" t="str">
        <x:v>DEAL Martinique - ANC</x:v>
      </x:c>
      <x:c r="B11" s="39" t="str">
        <x:v>Liste des vidangeurs agréés, réglementation, actes</x:v>
      </x:c>
      <x:c r="C11" s="39" t="str">
        <x:v>Pages et PDF</x:v>
      </x:c>
      <x:c r="D11" s="39" t="str">
        <x:v>SEMI-AUTO</x:v>
      </x:c>
      <x:c r="E11" s="39" t="str">
        <x:v>Permet de mettre à jour le nombre d'entreprises agréées et de conserver les actes.</x:v>
      </x:c>
      <x:c r="F11" s="39" t="str">
        <x:v>https://www.martinique.developpement-durable.gouv.fr/liste-des-vidangeurs-des-anc-agrees-en-martinique-a2410.html</x:v>
      </x:c>
    </x:row>
    <x:row r="12">
      <x:c r="A12" s="39" t="str">
        <x:v>RPQS / RAD / ODE</x:v>
      </x:c>
      <x:c r="B12" s="39" t="str">
        <x:v>Patrimoine et données locales non disponibles nationalement</x:v>
      </x:c>
      <x:c r="C12" s="39" t="str">
        <x:v>PDF/XLS/exports internes</x:v>
      </x:c>
      <x:c r="D12" s="39" t="str">
        <x:v>SEMI-AUTO / MANUEL</x:v>
      </x:c>
      <x:c r="E12" s="39" t="str">
        <x:v>Réservoirs, postes de refoulement, stations privées, autonomie, données locales spécifiques.</x:v>
      </x:c>
      <x:c r="F12" s="39" t="str"/>
    </x:row>
  </x:sheetData>
  <x:pageMargins left="0.7" right="0.7" top="0.75" bottom="0.75" header="0.3" footer="0.3"/>
  <x:tableParts count="1">
    <x:tablePart xmlns:r="http://schemas.openxmlformats.org/officeDocument/2006/relationships" r:id="Rc32b004467494a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60" hidden="0" customWidth="1"/>
    <x:col min="5" max="5" width="24" hidden="0" customWidth="1"/>
    <x:col min="6" max="6" width="14" hidden="0" customWidth="1"/>
    <x:col min="7" max="7" width="55" hidden="0" customWidth="1"/>
  </x:cols>
  <x:sheetData>
    <x:row r="1">
      <x:c r="A1" s="44" t="str">
        <x:v>ID</x:v>
      </x:c>
      <x:c r="B1" s="44" t="str">
        <x:v>Sujet</x:v>
      </x:c>
      <x:c r="C1" s="44" t="str">
        <x:v>Localisation</x:v>
      </x:c>
      <x:c r="D1" s="44" t="str">
        <x:v>Constat</x:v>
      </x:c>
      <x:c r="E1" s="44" t="str">
        <x:v>Impact</x:v>
      </x:c>
      <x:c r="F1" s="44" t="str">
        <x:v>Confiance</x:v>
      </x:c>
      <x:c r="G1" s="44" t="str">
        <x:v>Action recommandée</x:v>
      </x:c>
    </x:row>
    <x:row r="2">
      <x:c r="A2" s="45" t="str">
        <x:v>A001</x:v>
      </x:c>
      <x:c r="B2" s="45" t="str">
        <x:v>Linéaire AEP</x:v>
      </x:c>
      <x:c r="C2" s="45" t="str">
        <x:v>p.13 vs p.15</x:v>
      </x:c>
      <x:c r="D2" s="45" t="str">
        <x:v>La p.13 affiche 3 867 km de réseaux AEP, tandis que le texte p.15 calcule le renouvellement moyen sur 3 578 km.</x:v>
      </x:c>
      <x:c r="E2" s="45" t="str">
        <x:v>Écart de 289 km</x:v>
      </x:c>
      <x:c r="F2" s="45" t="str">
        <x:v>Élevée</x:v>
      </x:c>
      <x:c r="G2" s="45" t="str">
        <x:v>Conserver les deux valeurs dans la validation ; rechercher le périmètre exact avant de choisir le dénominateur P107.2.</x:v>
      </x:c>
    </x:row>
    <x:row r="3">
      <x:c r="A3" s="45" t="str">
        <x:v>A002</x:v>
      </x:c>
      <x:c r="B3" s="45" t="str">
        <x:v>Capacité STEU &gt;200 EH</x:v>
      </x:c>
      <x:c r="C3" s="45" t="str">
        <x:v>p.4 vs p.19</x:v>
      </x:c>
      <x:c r="D3" s="45" t="str">
        <x:v>Le résumé p.4 indique 347 911 EH de capacité des stations publiques &gt;200 EH ; la p.19 affiche 351 866 EH.</x:v>
      </x:c>
      <x:c r="E3" s="45" t="str">
        <x:v>Écart de 3 955 EH</x:v>
      </x:c>
      <x:c r="F3" s="45" t="str">
        <x:v>Élevée</x:v>
      </x:c>
      <x:c r="G3" s="45" t="str">
        <x:v>Prendre la source élémentaire STEU comme référence future ; documenter l'écart 2022.</x:v>
      </x:c>
    </x:row>
    <x:row r="4">
      <x:c r="A4" s="45" t="str">
        <x:v>A003</x:v>
      </x:c>
      <x:c r="B4" s="45" t="str">
        <x:v>Boues 2022</x:v>
      </x:c>
      <x:c r="C4" s="45" t="str">
        <x:v>p.23</x:v>
      </x:c>
      <x:c r="D4" s="45" t="str">
        <x:v>Le total affiché est 1 622 TMS, mais les valeurs EPCI 322 + 1 017 + 282 donnent 1 621 TMS.</x:v>
      </x:c>
      <x:c r="E4" s="45" t="str">
        <x:v>Écart de 1 TMS</x:v>
      </x:c>
      <x:c r="F4" s="45" t="str">
        <x:v>Élevée</x:v>
      </x:c>
      <x:c r="G4" s="45" t="str">
        <x:v>Probable arrondi ou valeur non affectée ; ne pas forcer artificiellement les sous-totaux.</x:v>
      </x:c>
    </x:row>
    <x:row r="5">
      <x:c r="A5" s="45" t="str">
        <x:v>A004</x:v>
      </x:c>
      <x:c r="B5" s="45" t="str">
        <x:v>Boues - commentaire</x:v>
      </x:c>
      <x:c r="C5" s="45" t="str">
        <x:v>p.23</x:v>
      </x:c>
      <x:c r="D5" s="45" t="str">
        <x:v>Le texte indique que le tonnage total est « en augmentation depuis 2 ans », alors que le tableau passe de 1 730 TMS en 2021 à 1 622 TMS en 2022.</x:v>
      </x:c>
      <x:c r="E5" s="45" t="str">
        <x:v>Contradiction rédactionnelle</x:v>
      </x:c>
      <x:c r="F5" s="45" t="str">
        <x:v>Élevée</x:v>
      </x:c>
      <x:c r="G5" s="45" t="str">
        <x:v>La base doit stocker les valeurs, pas le commentaire ; générer les tendances automatiquement.</x:v>
      </x:c>
    </x:row>
    <x:row r="6">
      <x:c r="A6" s="45" t="str">
        <x:v>A005</x:v>
      </x:c>
      <x:c r="B6" s="45" t="str">
        <x:v>Boues - parts EPCI</x:v>
      </x:c>
      <x:c r="C6" s="45" t="str">
        <x:v>p.23</x:v>
      </x:c>
      <x:c r="D6" s="45" t="str">
        <x:v>Les parts affichées 20 % + 60 % + 17 % = 97 %, pas 100 %.</x:v>
      </x:c>
      <x:c r="E6" s="45" t="str">
        <x:v>3 points manquants</x:v>
      </x:c>
      <x:c r="F6" s="45" t="str">
        <x:v>Élevée</x:v>
      </x:c>
      <x:c r="G6" s="45" t="str">
        <x:v>Calculer les parts à partir des TMS brutes et présenter l'arrondi explicitement.</x:v>
      </x:c>
    </x:row>
    <x:row r="7">
      <x:c r="A7" s="45" t="str">
        <x:v>A006</x:v>
      </x:c>
      <x:c r="B7" s="45" t="str">
        <x:v>Raccordement AC</x:v>
      </x:c>
      <x:c r="C7" s="45" t="str">
        <x:v>p.25</x:v>
      </x:c>
      <x:c r="D7" s="45" t="str">
        <x:v>Le rapport écrit « 42,5 % des Martiniquais sont raccordés », mais 42,5 % correspond exactement à 80 832 abonnés AC / 190 066 abonnés AEP.</x:v>
      </x:c>
      <x:c r="E7" s="45" t="str">
        <x:v>Ambiguïté de dénominateur</x:v>
      </x:c>
      <x:c r="F7" s="45" t="str">
        <x:v>Moyenne</x:v>
      </x:c>
      <x:c r="G7" s="45" t="str">
        <x:v>Valider avec l'ODE si l'indicateur doit être défini comme part d'abonnés AEP raccordés à l'AC.</x:v>
      </x:c>
    </x:row>
    <x:row r="8">
      <x:c r="A8" s="45" t="str">
        <x:v>A007</x:v>
      </x:c>
      <x:c r="B8" s="45" t="str">
        <x:v>Pertes réseau</x:v>
      </x:c>
      <x:c r="C8" s="45" t="str">
        <x:v>p.4/p.12</x:v>
      </x:c>
      <x:c r="D8" s="45" t="str">
        <x:v>Le rapport affiche 49 % de pertes/volumes de service, mais cette valeur n'est pas directement équivalente à 100 - P104.3.</x:v>
      </x:c>
      <x:c r="E8" s="45" t="str">
        <x:v>Risque de confusion méthodologique</x:v>
      </x:c>
      <x:c r="F8" s="45" t="str">
        <x:v>Élevée</x:v>
      </x:c>
      <x:c r="G8" s="45" t="str">
        <x:v>Conserver séparément rendement SISPEA, pertes linéaires, volumes de service et ratio de synthèse ODE.</x:v>
      </x:c>
    </x:row>
  </x:sheetData>
  <x:pageMargins left="0.7" right="0.7" top="0.75" bottom="0.75" header="0.3" footer="0.3"/>
  <x:tableParts count="1">
    <x:tablePart xmlns:r="http://schemas.openxmlformats.org/officeDocument/2006/relationships" r:id="R45367ed92f5741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36" hidden="0" customWidth="1"/>
    <x:col min="5" max="5" width="35" hidden="0" customWidth="1"/>
    <x:col min="6" max="6" width="48" hidden="0" customWidth="1"/>
  </x:cols>
  <x:sheetData>
    <x:row r="1">
      <x:c r="A1" s="48" t="str">
        <x:v>Proposition de modèle de données cible</x:v>
      </x:c>
      <x:c r="B1" s="48"/>
      <x:c r="C1" s="48"/>
      <x:c r="D1" s="48"/>
      <x:c r="E1" s="48"/>
      <x:c r="F1" s="48"/>
    </x:row>
    <x:row r="2">
      <x:c r="A2" s="49"/>
      <x:c r="B2" s="49"/>
      <x:c r="C2" s="49"/>
      <x:c r="D2" s="49"/>
      <x:c r="E2" s="49"/>
      <x:c r="F2" s="49"/>
    </x:row>
    <x:row r="3">
      <x:c r="A3" s="42" t="str">
        <x:v>Couche</x:v>
      </x:c>
      <x:c r="B3" s="42" t="str">
        <x:v>Table</x:v>
      </x:c>
      <x:c r="C3" s="42" t="str">
        <x:v>Clé / grain</x:v>
      </x:c>
      <x:c r="D3" s="42" t="str">
        <x:v>Rôle</x:v>
      </x:c>
      <x:c r="E3" s="42" t="str">
        <x:v>Exemples</x:v>
      </x:c>
      <x:c r="F3" s="42" t="str">
        <x:v>Remarque</x:v>
      </x:c>
    </x:row>
    <x:row r="4">
      <x:c r="A4" s="39" t="str">
        <x:v>Référentiel</x:v>
      </x:c>
      <x:c r="B4" s="39" t="str">
        <x:v>dim_indicateur</x:v>
      </x:c>
      <x:c r="C4" s="39" t="str">
        <x:v>1 ligne / indicateur</x:v>
      </x:c>
      <x:c r="D4" s="39" t="str">
        <x:v>Définition stable et métadonnées</x:v>
      </x:c>
      <x:c r="E4" s="39" t="str">
        <x:v>P104.3, RES_014, ANC_010</x:v>
      </x:c>
      <x:c r="F4" s="39" t="str">
        <x:v>Séparer code interne et code source.</x:v>
      </x:c>
    </x:row>
    <x:row r="5">
      <x:c r="A5" s="39" t="str">
        <x:v>Référentiel</x:v>
      </x:c>
      <x:c r="B5" s="39" t="str">
        <x:v>dim_source</x:v>
      </x:c>
      <x:c r="C5" s="39" t="str">
        <x:v>1 ligne / source</x:v>
      </x:c>
      <x:c r="D5" s="39" t="str">
        <x:v>Traçabilité</x:v>
      </x:c>
      <x:c r="E5" s="39" t="str">
        <x:v>SISPEA, BNPE, DEAL</x:v>
      </x:c>
      <x:c r="F5" s="39" t="str">
        <x:v>Conserver URL, licence, producteur.</x:v>
      </x:c>
    </x:row>
    <x:row r="6">
      <x:c r="A6" s="39" t="str">
        <x:v>Référentiel</x:v>
      </x:c>
      <x:c r="B6" s="39" t="str">
        <x:v>dim_territoire</x:v>
      </x:c>
      <x:c r="C6" s="39" t="str">
        <x:v>1 ligne / territoire millésimé</x:v>
      </x:c>
      <x:c r="D6" s="39" t="str">
        <x:v>Communes, EPCI, Martinique</x:v>
      </x:c>
      <x:c r="E6" s="39" t="str">
        <x:v>972xx, CACEM...</x:v>
      </x:c>
      <x:c r="F6" s="39" t="str">
        <x:v>Gérer évolutions administratives.</x:v>
      </x:c>
    </x:row>
    <x:row r="7">
      <x:c r="A7" s="39" t="str">
        <x:v>Référentiel</x:v>
      </x:c>
      <x:c r="B7" s="39" t="str">
        <x:v>dim_service</x:v>
      </x:c>
      <x:c r="C7" s="39" t="str">
        <x:v>1 ligne / service SISPEA millésimé</x:v>
      </x:c>
      <x:c r="D7" s="39" t="str">
        <x:v>Services EP/AC/ANC</x:v>
      </x:c>
      <x:c r="E7" s="39" t="str">
        <x:v>service_id</x:v>
      </x:c>
      <x:c r="F7" s="39" t="str">
        <x:v>Ne pas utiliser seulement le nom du service.</x:v>
      </x:c>
    </x:row>
    <x:row r="8">
      <x:c r="A8" s="39" t="str">
        <x:v>Référentiel</x:v>
      </x:c>
      <x:c r="B8" s="39" t="str">
        <x:v>dim_ouvrage</x:v>
      </x:c>
      <x:c r="C8" s="39" t="str">
        <x:v>1 ligne / ouvrage et période de validité</x:v>
      </x:c>
      <x:c r="D8" s="39" t="str">
        <x:v>Captages, usines, réservoirs, STEU</x:v>
      </x:c>
      <x:c r="E8" s="39" t="str">
        <x:v>code SANDRE/BNPE</x:v>
      </x:c>
      <x:c r="F8" s="39" t="str">
        <x:v>PostGIS recommandé.</x:v>
      </x:c>
    </x:row>
    <x:row r="9">
      <x:c r="A9" s="39" t="str">
        <x:v>Faits</x:v>
      </x:c>
      <x:c r="B9" s="39" t="str">
        <x:v>fact_indicateur</x:v>
      </x:c>
      <x:c r="C9" s="39" t="str">
        <x:v>indicateur × année × territoire/service/ouvrage</x:v>
      </x:c>
      <x:c r="D9" s="39" t="str">
        <x:v>Valeur générique</x:v>
      </x:c>
      <x:c r="E9" s="39" t="str">
        <x:v>rendement, conformité</x:v>
      </x:c>
      <x:c r="F9" s="39" t="str">
        <x:v>Inclure numérateur/dénominateur.</x:v>
      </x:c>
    </x:row>
    <x:row r="10">
      <x:c r="A10" s="39" t="str">
        <x:v>Faits</x:v>
      </x:c>
      <x:c r="B10" s="39" t="str">
        <x:v>fact_prelevement</x:v>
      </x:c>
      <x:c r="C10" s="39" t="str">
        <x:v>ouvrage × année × usage</x:v>
      </x:c>
      <x:c r="D10" s="39" t="str">
        <x:v>Volumes BNPE</x:v>
      </x:c>
      <x:c r="E10" s="39" t="str">
        <x:v>AEP, irrigation...</x:v>
      </x:c>
      <x:c r="F10" s="39" t="str">
        <x:v>Niveau le plus fin avant agrégation.</x:v>
      </x:c>
    </x:row>
    <x:row r="11">
      <x:c r="A11" s="39" t="str">
        <x:v>Faits</x:v>
      </x:c>
      <x:c r="B11" s="39" t="str">
        <x:v>fact_tarif</x:v>
      </x:c>
      <x:c r="C11" s="39" t="str">
        <x:v>service × année</x:v>
      </x:c>
      <x:c r="D11" s="39" t="str">
        <x:v>Facture type et prix</x:v>
      </x:c>
      <x:c r="E11" s="39" t="str">
        <x:v>D102.0, D204.0</x:v>
      </x:c>
      <x:c r="F11" s="39" t="str">
        <x:v>Année tarifaire clairement distinguée.</x:v>
      </x:c>
    </x:row>
    <x:row r="12">
      <x:c r="A12" s="39" t="str">
        <x:v>Faits</x:v>
      </x:c>
      <x:c r="B12" s="39" t="str">
        <x:v>fact_tarif_composante</x:v>
      </x:c>
      <x:c r="C12" s="39" t="str">
        <x:v>service × année × composante</x:v>
      </x:c>
      <x:c r="D12" s="39" t="str">
        <x:v>Structure tarifaire extensible</x:v>
      </x:c>
      <x:c r="E12" s="39" t="str">
        <x:v>TVA, redevances, MOA, délégataire</x:v>
      </x:c>
      <x:c r="F12" s="39" t="str">
        <x:v>Indispensable avec réforme des redevances.</x:v>
      </x:c>
    </x:row>
    <x:row r="13">
      <x:c r="A13" s="39" t="str">
        <x:v>Faits</x:v>
      </x:c>
      <x:c r="B13" s="39" t="str">
        <x:v>fact_steu</x:v>
      </x:c>
      <x:c r="C13" s="39" t="str">
        <x:v>STEU × année</x:v>
      </x:c>
      <x:c r="D13" s="39" t="str">
        <x:v>Capacité, charge, conformités, boues</x:v>
      </x:c>
      <x:c r="E13" s="39" t="str">
        <x:v>ERU</x:v>
      </x:c>
      <x:c r="F13" s="39" t="str">
        <x:v>Historiser les statuts.</x:v>
      </x:c>
    </x:row>
    <x:row r="14">
      <x:c r="A14" s="39" t="str">
        <x:v>Faits</x:v>
      </x:c>
      <x:c r="B14" s="39" t="str">
        <x:v>fact_anc</x:v>
      </x:c>
      <x:c r="C14" s="39" t="str">
        <x:v>SPANC × année</x:v>
      </x:c>
      <x:c r="D14" s="39" t="str">
        <x:v>Parc, population, conformité</x:v>
      </x:c>
      <x:c r="E14" s="39" t="str">
        <x:v>P301.3, contrôles</x:v>
      </x:c>
      <x:c r="F14" s="39" t="str">
        <x:v>Conserver variables élémentaires.</x:v>
      </x:c>
    </x:row>
    <x:row r="15">
      <x:c r="A15" s="39" t="str">
        <x:v>Qualité</x:v>
      </x:c>
      <x:c r="B15" s="39" t="str">
        <x:v>data_quality_issue</x:v>
      </x:c>
      <x:c r="C15" s="39" t="str">
        <x:v>1 ligne / anomalie</x:v>
      </x:c>
      <x:c r="D15" s="39" t="str">
        <x:v>Journal des écarts</x:v>
      </x:c>
      <x:c r="E15" s="39" t="str">
        <x:v>A001...</x:v>
      </x:c>
      <x:c r="F15" s="39" t="str">
        <x:v>Aucune correction silencieuse.</x:v>
      </x:c>
    </x:row>
    <x:row r="16">
      <x:c r="A16" s="39" t="str">
        <x:v>ETL</x:v>
      </x:c>
      <x:c r="B16" s="39" t="str">
        <x:v>source_snapshot</x:v>
      </x:c>
      <x:c r="C16" s="39" t="str">
        <x:v>1 ligne / fichier ou appel API</x:v>
      </x:c>
      <x:c r="D16" s="39" t="str">
        <x:v>Reproductibilité</x:v>
      </x:c>
      <x:c r="E16" s="39" t="str">
        <x:v>hash, date, version</x:v>
      </x:c>
      <x:c r="F16" s="39" t="str">
        <x:v>Archiver les fichiers bruts.</x:v>
      </x:c>
    </x:row>
    <x:row r="17">
      <x:c r="A17" s="39" t="str">
        <x:v>ETL</x:v>
      </x:c>
      <x:c r="B17" s="39" t="str">
        <x:v>etl_run</x:v>
      </x:c>
      <x:c r="C17" s="39" t="str">
        <x:v>1 ligne / exécution</x:v>
      </x:c>
      <x:c r="D17" s="39" t="str">
        <x:v>Audit du chargement</x:v>
      </x:c>
      <x:c r="E17" s="39" t="str">
        <x:v>année, statut, logs</x:v>
      </x:c>
      <x:c r="F17" s="39" t="str">
        <x:v>Commande annuelle unique.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3219b27dc994c6e"/>
  </x:tableParts>
</x:worksheet>
</file>