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4a58e2ce5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e1dc18846acd4e04"/>
    <x:sheet xmlns:r="http://schemas.openxmlformats.org/officeDocument/2006/relationships" name="Mapping" sheetId="2" r:id="R0c438f218b384f23"/>
    <x:sheet xmlns:r="http://schemas.openxmlformats.org/officeDocument/2006/relationships" name="Reference_ODE_2022" sheetId="3" r:id="Rd4e6f21cabee4243"/>
    <x:sheet xmlns:r="http://schemas.openxmlformats.org/officeDocument/2006/relationships" name="Sources" sheetId="4" r:id="Rb44fd24cb4204ca7"/>
    <x:sheet xmlns:r="http://schemas.openxmlformats.org/officeDocument/2006/relationships" name="Pipeline" sheetId="5" r:id="Rc25414cf2e93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7C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4F7C"/>
      </x:patternFill>
    </x:fill>
    <x:fill>
      <x:patternFill patternType="solid">
        <x:fgColor rgb="FFEAF4FA"/>
      </x:patternFill>
    </x:fill>
    <x:fill>
      <x:patternFill patternType="solid">
        <x:fgColor rgb="FF14999A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3D6"/>
        </x:patternFill>
      </x:fill>
    </x:dxf>
    <x:dxf>
      <x:fill>
        <x:patternFill patternType="solid">
          <x:bgColor rgb="FFEAF8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d9ec7daca4b01" /><Relationship Type="http://schemas.openxmlformats.org/officeDocument/2006/relationships/theme" Target="/xl/theme/theme1.xml" Id="Ree2b57d7fae6434a" /><Relationship Type="http://schemas.openxmlformats.org/officeDocument/2006/relationships/sharedStrings" Target="/xl/sharedStrings.xml" Id="Re36b1f87e8724d0f" /><Relationship Type="http://schemas.openxmlformats.org/officeDocument/2006/relationships/worksheet" Target="/xl/worksheets/sheet1.xml" Id="Re1dc18846acd4e04" /><Relationship Type="http://schemas.openxmlformats.org/officeDocument/2006/relationships/worksheet" Target="/xl/worksheets/sheet2.xml" Id="R0c438f218b384f23" /><Relationship Type="http://schemas.openxmlformats.org/officeDocument/2006/relationships/worksheet" Target="/xl/worksheets/sheet3.xml" Id="Rd4e6f21cabee4243" /><Relationship Type="http://schemas.openxmlformats.org/officeDocument/2006/relationships/worksheet" Target="/xl/worksheets/sheet4.xml" Id="Rb44fd24cb4204ca7" /><Relationship Type="http://schemas.openxmlformats.org/officeDocument/2006/relationships/worksheet" Target="/xl/worksheets/sheet5.xml" Id="Rc25414cf2e93470b" /></Relationships>
</file>

<file path=xl/tables/table1.xml><?xml version="1.0" encoding="utf-8"?>
<x:table xmlns:x="http://schemas.openxmlformats.org/spreadsheetml/2006/main" id="1" name="MappingSispeaTable" displayName="MappingSispeaTable" ref="A1:I32" headerRowCount="1" totalsRowCount="0" totalsRowShown="0">
  <x:tableColumns count="9">
    <x:tableColumn id="1" name="Compétence"/>
    <x:tableColumn id="2" name="ID ODE"/>
    <x:tableColumn id="3" name="Code SISPEA"/>
    <x:tableColumn id="4" name="Libellé"/>
    <x:tableColumn id="5" name="Unité"/>
    <x:tableColumn id="6" name="Agrégation / règle"/>
    <x:tableColumn id="7" name="Source officielle"/>
    <x:tableColumn id="8" name="Niveau de confiance"/>
    <x:tableColumn id="9" name="Remarq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ODETable" displayName="ReferenceODETable" ref="A1:G13" headerRowCount="1" totalsRowCount="0" totalsRowShown="0">
  <x:tableColumns count="7">
    <x:tableColumn id="1" name="ID ODE"/>
    <x:tableColumn id="2" name="Compétence"/>
    <x:tableColumn id="3" name="Indicateur"/>
    <x:tableColumn id="4" name="Territoire"/>
    <x:tableColumn id="5" name="Valeur rapport"/>
    <x:tableColumn id="6" name="Unité"/>
    <x:tableColumn id="7" name="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Table" displayName="SourceTable" ref="A1:C6" headerRowCount="1" totalsRowCount="0" totalsRowShown="0">
  <x:tableColumns count="3">
    <x:tableColumn id="1" name="Source"/>
    <x:tableColumn id="2" name="Rôle dans le pipeline"/>
    <x:tableColumn id="3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pelineTable" displayName="PipelineTable" ref="A3:F9" headerRowCount="1" totalsRowCount="0" totalsRowShown="0">
  <x:tableColumns count="6">
    <x:tableColumn id="1" name="Étape"/>
    <x:tableColumn id="2" name="Entrée"/>
    <x:tableColumn id="3" name="Traitement"/>
    <x:tableColumn id="4" name="Sortie"/>
    <x:tableColumn id="5" name="Contrôle"/>
    <x:tableColumn id="6" name="Automatis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7ee4ea80094f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d8aa47eed14a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9ed15f85fa44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684fea0d2e410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4" hidden="0" customWidth="1"/>
    <x:col min="4" max="4" width="2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Matrice technique SISPEA → Référentiel ODE Martinique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Objectif</x:v>
      </x:c>
      <x:c r="B3" s="13" t="str">
        <x:v>Définir les codes SISPEA, règles d'agrégation et sources nécessaires au module annuel EP / AC / ANC.</x:v>
      </x:c>
      <x:c r="D3" s="17" t="str">
        <x:v>Compétence</x:v>
      </x:c>
      <x:c r="E3" s="17" t="str">
        <x:v>Nb mappings</x:v>
      </x:c>
    </x:row>
    <x:row r="4">
      <x:c r="A4" s="12" t="str">
        <x:v>Format privilégié</x:v>
      </x:c>
      <x:c r="B4" s="13" t="str">
        <x:v>ODS officiel SISPEA</x:v>
      </x:c>
      <x:c r="D4" t="str">
        <x:v>EP</x:v>
      </x:c>
      <x:c r="E4" t="n">
        <x:f>COUNTIF(Mapping!A:A,"EP")</x:f>
        <x:v>14</x:v>
      </x:c>
    </x:row>
    <x:row r="5">
      <x:c r="A5" s="12" t="str">
        <x:v>Filtre territorial</x:v>
      </x:c>
      <x:c r="B5" s="13" t="str">
        <x:v>Département 972 / région Martinique</x:v>
      </x:c>
      <x:c r="D5" t="str">
        <x:v>AC</x:v>
      </x:c>
      <x:c r="E5" t="n">
        <x:f>COUNTIF(Mapping!A:A,"AC")</x:f>
        <x:v>8</x:v>
      </x:c>
    </x:row>
    <x:row r="6">
      <x:c r="A6" s="12" t="str">
        <x:v>Granularité primaire</x:v>
      </x:c>
      <x:c r="B6" s="13" t="str">
        <x:v>Service SISPEA × année × code indicateur/variable</x:v>
      </x:c>
      <x:c r="D6" t="str">
        <x:v>ANC</x:v>
      </x:c>
      <x:c r="E6" t="n">
        <x:f>COUNTIF(Mapping!A:A,"ANC")</x:f>
        <x:v>9</x:v>
      </x:c>
    </x:row>
    <x:row r="7">
      <x:c r="A7" s="12" t="str">
        <x:v>Principe qualité</x:v>
      </x:c>
      <x:c r="B7" s="13" t="str">
        <x:v>Conserver les valeurs élémentaires ; recalculer les indicateurs pondérés lorsque les variables nécessaires existent.</x:v>
      </x:c>
      <x:c r="D7" t="str">
        <x:v>Total</x:v>
      </x:c>
      <x:c r="E7" t="n">
        <x:f>SUM(E4:E6)</x:f>
        <x:v>31</x:v>
      </x:c>
    </x:row>
    <x:row r="8">
      <x:c r="A8" s="12" t="str">
        <x:v>Validation</x:v>
      </x:c>
      <x:c r="B8" s="13" t="str">
        <x:v>Comparer l'exercice 2022 au rapport ODE sans forcer les écarts.</x:v>
      </x:c>
    </x:row>
    <x:row r="9">
      <x:c r="A9" s="12" t="str">
        <x:v>Statut</x:v>
      </x:c>
      <x:c r="B9" s="13" t="str">
        <x:v>Module ETL testé sur fixture ODS synthétique ; validation sur les vrais fichiers SISPEA 2022 encore à réaliser.</x:v>
      </x:c>
      <x:c r="D9" s="20" t="str">
        <x:v>Règles importantes</x:v>
      </x:c>
      <x:c r="E9" s="20"/>
      <x:c r="F9" s="20"/>
      <x:c r="G9" s="20"/>
      <x:c r="H9" s="20"/>
    </x:row>
    <x:row r="10">
      <x:c r="D10" s="23" t="str">
        <x:v>P104.3 : recalcul territorial via ΣVP.233 / ΣVP.234, pas moyenne simple.</x:v>
      </x:c>
      <x:c r="E10" s="23"/>
      <x:c r="F10" s="23"/>
      <x:c r="G10" s="23"/>
      <x:c r="H10" s="23"/>
    </x:row>
    <x:row r="11">
      <x:c r="D11" s="23" t="str">
        <x:v>P106.3 : recalcul des pertes à partir des volumes et du linéaire.</x:v>
      </x:c>
      <x:c r="E11" s="23"/>
      <x:c r="F11" s="23"/>
      <x:c r="G11" s="23"/>
      <x:c r="H11" s="23"/>
    </x:row>
    <x:row r="12">
      <x:c r="D12" s="23" t="str">
        <x:v>P107.2 : recalcul via le linéaire renouvelé cumulé sur 5 ans / linéaire total.</x:v>
      </x:c>
      <x:c r="E12" s="23"/>
      <x:c r="F12" s="23"/>
      <x:c r="G12" s="23"/>
      <x:c r="H12" s="23"/>
    </x:row>
    <x:row r="13">
      <x:c r="D13" s="23" t="str">
        <x:v>P301.3 : recalcul via (ΣVP.166 + ΣVP.267) / ΣVP.167.</x:v>
      </x:c>
      <x:c r="E13" s="23"/>
      <x:c r="F13" s="23"/>
      <x:c r="G13" s="23"/>
      <x:c r="H13" s="23"/>
    </x:row>
  </x:sheetData>
  <x:mergeCells>
    <x:mergeCell ref="A1:H1"/>
    <x:mergeCell ref="D9:H9"/>
    <x:mergeCell ref="D10:H10"/>
    <x:mergeCell ref="D11:H11"/>
    <x:mergeCell ref="D12:H12"/>
    <x:mergeCell ref="D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42" hidden="0" customWidth="1"/>
    <x:col min="5" max="5" width="14" hidden="0" customWidth="1"/>
    <x:col min="6" max="6" width="34" hidden="0" customWidth="1"/>
    <x:col min="7" max="7" width="52" hidden="0" customWidth="1"/>
    <x:col min="8" max="8" width="18" hidden="0" customWidth="1"/>
    <x:col min="9" max="9" width="55" hidden="0" customWidth="1"/>
  </x:cols>
  <x:sheetData>
    <x:row r="1">
      <x:c r="A1" s="26" t="str">
        <x:v>Compétence</x:v>
      </x:c>
      <x:c r="B1" s="26" t="str">
        <x:v>ID ODE</x:v>
      </x:c>
      <x:c r="C1" s="26" t="str">
        <x:v>Code SISPEA</x:v>
      </x:c>
      <x:c r="D1" s="26" t="str">
        <x:v>Libellé</x:v>
      </x:c>
      <x:c r="E1" s="26" t="str">
        <x:v>Unité</x:v>
      </x:c>
      <x:c r="F1" s="26" t="str">
        <x:v>Agrégation / règle</x:v>
      </x:c>
      <x:c r="G1" s="26" t="str">
        <x:v>Source officielle</x:v>
      </x:c>
      <x:c r="H1" s="26" t="str">
        <x:v>Niveau de confiance</x:v>
      </x:c>
      <x:c r="I1" s="26" t="str">
        <x:v>Remarque</x:v>
      </x:c>
    </x:row>
    <x:row r="2">
      <x:c r="A2" s="13" t="str">
        <x:v>EP</x:v>
      </x:c>
      <x:c r="B2" s="13" t="str">
        <x:v>EP_003</x:v>
      </x:c>
      <x:c r="C2" s="13" t="str">
        <x:v>P101.1</x:v>
      </x:c>
      <x:c r="D2" s="13" t="str">
        <x:v>Conformité microbiologique</x:v>
      </x:c>
      <x:c r="E2" s="13" t="str">
        <x:v>%</x:v>
      </x:c>
      <x:c r="F2" s="13" t="str">
        <x:v>weighted_from_counts_if_available</x:v>
      </x:c>
      <x:c r="G2" s="13" t="str">
        <x:v>https://www.services.eaufrance.fr/indicateurs/P101.1</x:v>
      </x:c>
      <x:c r="H2" s="13" t="str">
        <x:v>Élevée</x:v>
      </x:c>
      <x:c r="I2" s="13" t="str"/>
    </x:row>
    <x:row r="3">
      <x:c r="A3" s="13" t="str">
        <x:v>EP</x:v>
      </x:c>
      <x:c r="B3" s="13" t="str">
        <x:v>EP_004</x:v>
      </x:c>
      <x:c r="C3" s="13" t="str">
        <x:v>P102.1</x:v>
      </x:c>
      <x:c r="D3" s="13" t="str">
        <x:v>Conformité physico-chimique</x:v>
      </x:c>
      <x:c r="E3" s="13" t="str">
        <x:v>%</x:v>
      </x:c>
      <x:c r="F3" s="13" t="str">
        <x:v>weighted_from_counts_if_available</x:v>
      </x:c>
      <x:c r="G3" s="13" t="str">
        <x:v>https://www.services.eaufrance.fr/indicateurs/P102.1</x:v>
      </x:c>
      <x:c r="H3" s="13" t="str">
        <x:v>Élevée</x:v>
      </x:c>
      <x:c r="I3" s="13" t="str"/>
    </x:row>
    <x:row r="4">
      <x:c r="A4" s="13" t="str">
        <x:v>EP</x:v>
      </x:c>
      <x:c r="B4" s="13" t="str">
        <x:v>EP_005</x:v>
      </x:c>
      <x:c r="C4" s="13" t="str">
        <x:v>VP.056</x:v>
      </x:c>
      <x:c r="D4" s="13" t="str">
        <x:v>Nombre d'abonnés</x:v>
      </x:c>
      <x:c r="E4" s="13" t="str">
        <x:v>abonnés</x:v>
      </x:c>
      <x:c r="F4" s="13" t="str">
        <x:v>sum</x:v>
      </x:c>
      <x:c r="G4" s="13" t="str">
        <x:v>https://www.services.eaufrance.fr/variables/vp.056</x:v>
      </x:c>
      <x:c r="H4" s="13" t="str">
        <x:v>Élevée</x:v>
      </x:c>
      <x:c r="I4" s="13" t="str"/>
    </x:row>
    <x:row r="5">
      <x:c r="A5" s="13" t="str">
        <x:v>EP</x:v>
      </x:c>
      <x:c r="B5" s="13" t="str">
        <x:v>EP_006</x:v>
      </x:c>
      <x:c r="C5" s="13" t="str">
        <x:v>VP.068</x:v>
      </x:c>
      <x:c r="D5" s="13" t="str">
        <x:v>Volume facturé</x:v>
      </x:c>
      <x:c r="E5" s="13" t="str">
        <x:v>m3/an</x:v>
      </x:c>
      <x:c r="F5" s="13" t="str">
        <x:v>sum</x:v>
      </x:c>
      <x:c r="G5" s="13" t="str">
        <x:v>https://www.services.eaufrance.fr/variables/vp.068</x:v>
      </x:c>
      <x:c r="H5" s="13" t="str">
        <x:v>Élevée</x:v>
      </x:c>
      <x:c r="I5" s="13" t="str"/>
    </x:row>
    <x:row r="6">
      <x:c r="A6" s="13" t="str">
        <x:v>EP</x:v>
      </x:c>
      <x:c r="B6" s="13" t="str">
        <x:v>EP_007</x:v>
      </x:c>
      <x:c r="C6" s="13" t="str">
        <x:v>VP.059</x:v>
      </x:c>
      <x:c r="D6" s="13" t="str">
        <x:v>Volume produit</x:v>
      </x:c>
      <x:c r="E6" s="13" t="str">
        <x:v>m3/an</x:v>
      </x:c>
      <x:c r="F6" s="13" t="str">
        <x:v>sum</x:v>
      </x:c>
      <x:c r="G6" s="13" t="str">
        <x:v>https://www.services.eaufrance.fr/variables/vp.059</x:v>
      </x:c>
      <x:c r="H6" s="13" t="str">
        <x:v>Élevée</x:v>
      </x:c>
      <x:c r="I6" s="13" t="str"/>
    </x:row>
    <x:row r="7">
      <x:c r="A7" s="13" t="str">
        <x:v>EP</x:v>
      </x:c>
      <x:c r="B7" s="13" t="str">
        <x:v>RES_014</x:v>
      </x:c>
      <x:c r="C7" s="13" t="str">
        <x:v>VP.062</x:v>
      </x:c>
      <x:c r="D7" s="13" t="str">
        <x:v>Volume prélevé</x:v>
      </x:c>
      <x:c r="E7" s="13" t="str">
        <x:v>m3/an</x:v>
      </x:c>
      <x:c r="F7" s="13" t="str">
        <x:v>sum</x:v>
      </x:c>
      <x:c r="G7" s="13" t="str">
        <x:v>https://www.services.eaufrance.fr/variables/vp.062</x:v>
      </x:c>
      <x:c r="H7" s="13" t="str">
        <x:v>Élevée</x:v>
      </x:c>
      <x:c r="I7" s="13" t="str"/>
    </x:row>
    <x:row r="8">
      <x:c r="A8" s="13" t="str">
        <x:v>EP</x:v>
      </x:c>
      <x:c r="B8" s="13" t="str">
        <x:v>EP_017</x:v>
      </x:c>
      <x:c r="C8" s="13" t="str">
        <x:v>VP.077</x:v>
      </x:c>
      <x:c r="D8" s="13" t="str">
        <x:v>Linéaire de réseau hors branchements</x:v>
      </x:c>
      <x:c r="E8" s="13" t="str">
        <x:v>km</x:v>
      </x:c>
      <x:c r="F8" s="13" t="str">
        <x:v>sum</x:v>
      </x:c>
      <x:c r="G8" s="13" t="str">
        <x:v>https://www.services.eaufrance.fr/variables/vp.077</x:v>
      </x:c>
      <x:c r="H8" s="13" t="str">
        <x:v>Élevée</x:v>
      </x:c>
      <x:c r="I8" s="13" t="str"/>
    </x:row>
    <x:row r="9">
      <x:c r="A9" s="13" t="str">
        <x:v>EP</x:v>
      </x:c>
      <x:c r="B9" s="13" t="str">
        <x:v>EP_019</x:v>
      </x:c>
      <x:c r="C9" s="13" t="str">
        <x:v>P104.3</x:v>
      </x:c>
      <x:c r="D9" s="13" t="str">
        <x:v>Rendement du réseau de distribution</x:v>
      </x:c>
      <x:c r="E9" s="13" t="str">
        <x:v>%</x:v>
      </x:c>
      <x:c r="F9" s="13" t="str">
        <x:v>recompute_from_VP.233_VP.234</x:v>
      </x:c>
      <x:c r="G9" s="13" t="str">
        <x:v>https://www.services.eaufrance.fr/indicateurs/P104.3</x:v>
      </x:c>
      <x:c r="H9" s="13" t="str">
        <x:v>Élevée</x:v>
      </x:c>
      <x:c r="I9" s="13" t="str"/>
    </x:row>
    <x:row r="10">
      <x:c r="A10" s="13" t="str">
        <x:v>EP</x:v>
      </x:c>
      <x:c r="B10" s="13" t="str">
        <x:v>EP_020</x:v>
      </x:c>
      <x:c r="C10" s="13" t="str">
        <x:v>P106.3</x:v>
      </x:c>
      <x:c r="D10" s="13" t="str">
        <x:v>Indice linéaire de pertes</x:v>
      </x:c>
      <x:c r="E10" s="13" t="str">
        <x:v>m3/km/j</x:v>
      </x:c>
      <x:c r="F10" s="13" t="str">
        <x:v>recompute_from_volumes_and_VP.077</x:v>
      </x:c>
      <x:c r="G10" s="13" t="str">
        <x:v>https://services.eaufrance.fr/indicateurs/P106.3</x:v>
      </x:c>
      <x:c r="H10" s="13" t="str">
        <x:v>Élevée</x:v>
      </x:c>
      <x:c r="I10" s="13" t="str"/>
    </x:row>
    <x:row r="11">
      <x:c r="A11" s="13" t="str">
        <x:v>EP</x:v>
      </x:c>
      <x:c r="B11" s="13" t="str">
        <x:v>EP_021</x:v>
      </x:c>
      <x:c r="C11" s="13" t="str">
        <x:v>P107.2</x:v>
      </x:c>
      <x:c r="D11" s="13" t="str">
        <x:v>Taux moyen de renouvellement</x:v>
      </x:c>
      <x:c r="E11" s="13" t="str">
        <x:v>%</x:v>
      </x:c>
      <x:c r="F11" s="13" t="str">
        <x:v>recompute_from_VP.140_VP.077</x:v>
      </x:c>
      <x:c r="G11" s="13" t="str">
        <x:v>https://www.services.eaufrance.fr/indicateurs/P107.2</x:v>
      </x:c>
      <x:c r="H11" s="13" t="str">
        <x:v>Élevée</x:v>
      </x:c>
      <x:c r="I11" s="13" t="str"/>
    </x:row>
    <x:row r="12">
      <x:c r="A12" s="13" t="str">
        <x:v>EP</x:v>
      </x:c>
      <x:c r="B12" s="13" t="str">
        <x:v>TAR_001</x:v>
      </x:c>
      <x:c r="C12" s="13" t="str">
        <x:v>D102.0</x:v>
      </x:c>
      <x:c r="D12" s="13" t="str">
        <x:v>Prix TTC eau potable base 120 m3</x:v>
      </x:c>
      <x:c r="E12" s="13" t="str">
        <x:v>EUR/m3</x:v>
      </x:c>
      <x:c r="F12" s="13" t="str">
        <x:v>territorial_method_to_define</x:v>
      </x:c>
      <x:c r="G12" s="13" t="str">
        <x:v>https://www.services.eaufrance.fr/indicateurs/D102.0</x:v>
      </x:c>
      <x:c r="H12" s="13" t="str">
        <x:v>À valider</x:v>
      </x:c>
      <x:c r="I12" s="13" t="str">
        <x:v>Ne pas agréger tant que la règle territoriale du prix n'est pas validée.</x:v>
      </x:c>
    </x:row>
    <x:row r="13">
      <x:c r="A13" s="13" t="str">
        <x:v>EP</x:v>
      </x:c>
      <x:c r="B13" s="13" t="str">
        <x:v>TAR_EP_COL</x:v>
      </x:c>
      <x:c r="C13" s="13" t="str">
        <x:v>VP.178</x:v>
      </x:c>
      <x:c r="D13" s="13" t="str">
        <x:v>Montant HT facture 120m3 revenant collectivité</x:v>
      </x:c>
      <x:c r="E13" s="13" t="str">
        <x:v>EUR</x:v>
      </x:c>
      <x:c r="F13" s="13" t="str">
        <x:v>service_level</x:v>
      </x:c>
      <x:c r="G13" s="13" t="str">
        <x:v>https://www.services.eaufrance.fr/les-variables-de-performance-des-services-d-eau-potable</x:v>
      </x:c>
      <x:c r="H13" s="13" t="str">
        <x:v>Élevée</x:v>
      </x:c>
      <x:c r="I13" s="13" t="str">
        <x:v>Conserver au niveau service ; agrégation territoriale non pertinente telle quelle.</x:v>
      </x:c>
    </x:row>
    <x:row r="14">
      <x:c r="A14" s="13" t="str">
        <x:v>EP</x:v>
      </x:c>
      <x:c r="B14" s="13" t="str">
        <x:v>TAR_EP_DEL</x:v>
      </x:c>
      <x:c r="C14" s="13" t="str">
        <x:v>VP.177</x:v>
      </x:c>
      <x:c r="D14" s="13" t="str">
        <x:v>Montant HT facture 120m3 revenant délégataire</x:v>
      </x:c>
      <x:c r="E14" s="13" t="str">
        <x:v>EUR</x:v>
      </x:c>
      <x:c r="F14" s="13" t="str">
        <x:v>service_level</x:v>
      </x:c>
      <x:c r="G14" s="13" t="str">
        <x:v>https://www.services.eaufrance.fr/les-variables-de-performance-des-services-d-eau-potable</x:v>
      </x:c>
      <x:c r="H14" s="13" t="str">
        <x:v>Élevée</x:v>
      </x:c>
      <x:c r="I14" s="13" t="str">
        <x:v>Conserver au niveau service ; agrégation territoriale non pertinente telle quelle.</x:v>
      </x:c>
    </x:row>
    <x:row r="15">
      <x:c r="A15" s="13" t="str">
        <x:v>EP</x:v>
      </x:c>
      <x:c r="B15" s="13" t="str">
        <x:v>TAR_EP_TAX</x:v>
      </x:c>
      <x:c r="C15" s="13" t="str">
        <x:v>VP.179</x:v>
      </x:c>
      <x:c r="D15" s="13" t="str">
        <x:v>Taxes et redevances facture 120m3</x:v>
      </x:c>
      <x:c r="E15" s="13" t="str">
        <x:v>EUR</x:v>
      </x:c>
      <x:c r="F15" s="13" t="str">
        <x:v>service_level</x:v>
      </x:c>
      <x:c r="G15" s="13" t="str">
        <x:v>https://www.services.eaufrance.fr/les-variables-de-performance-des-services-d-eau-potable</x:v>
      </x:c>
      <x:c r="H15" s="13" t="str">
        <x:v>Élevée</x:v>
      </x:c>
      <x:c r="I15" s="13" t="str">
        <x:v>Conserver au niveau service ; agrégation territoriale non pertinente telle quelle.</x:v>
      </x:c>
    </x:row>
    <x:row r="16">
      <x:c r="A16" s="13" t="str">
        <x:v>AC</x:v>
      </x:c>
      <x:c r="B16" s="13" t="str">
        <x:v>AC_001</x:v>
      </x:c>
      <x:c r="C16" s="13" t="str">
        <x:v>VP.077</x:v>
      </x:c>
      <x:c r="D16" s="13" t="str">
        <x:v>Longueur de réseau hors branchements</x:v>
      </x:c>
      <x:c r="E16" s="13" t="str">
        <x:v>km</x:v>
      </x:c>
      <x:c r="F16" s="13" t="str">
        <x:v>sum</x:v>
      </x:c>
      <x:c r="G16" s="13" t="str">
        <x:v>https://www.services.eaufrance.fr/liste-des-variables-de-performances-des-services-d-assainissement-collectif</x:v>
      </x:c>
      <x:c r="H16" s="13" t="str">
        <x:v>Élevée</x:v>
      </x:c>
      <x:c r="I16" s="13" t="str"/>
    </x:row>
    <x:row r="17">
      <x:c r="A17" s="13" t="str">
        <x:v>AC</x:v>
      </x:c>
      <x:c r="B17" s="13" t="str">
        <x:v>AC_012</x:v>
      </x:c>
      <x:c r="C17" s="13" t="str">
        <x:v>VP.208</x:v>
      </x:c>
      <x:c r="D17" s="13" t="str">
        <x:v>Tonnage total des boues évacuées</x:v>
      </x:c>
      <x:c r="E17" s="13" t="str">
        <x:v>tMS/an</x:v>
      </x:c>
      <x:c r="F17" s="13" t="str">
        <x:v>sum</x:v>
      </x:c>
      <x:c r="G17" s="13" t="str">
        <x:v>https://www.services.eaufrance.fr/liste-des-variables-de-performances-des-services-d-assainissement-collectif</x:v>
      </x:c>
      <x:c r="H17" s="13" t="str">
        <x:v>Élevée</x:v>
      </x:c>
      <x:c r="I17" s="13" t="str"/>
    </x:row>
    <x:row r="18">
      <x:c r="A18" s="13" t="str">
        <x:v>AC</x:v>
      </x:c>
      <x:c r="B18" s="13" t="str">
        <x:v>AC_014</x:v>
      </x:c>
      <x:c r="C18" s="13" t="str">
        <x:v>VP.056</x:v>
      </x:c>
      <x:c r="D18" s="13" t="str">
        <x:v>Nombre d'abonnés AC</x:v>
      </x:c>
      <x:c r="E18" s="13" t="str">
        <x:v>abonnés</x:v>
      </x:c>
      <x:c r="F18" s="13" t="str">
        <x:v>sum</x:v>
      </x:c>
      <x:c r="G18" s="13" t="str">
        <x:v>https://www.services.eaufrance.fr/liste-des-variables-de-performances-des-services-d-assainissement-collectif</x:v>
      </x:c>
      <x:c r="H18" s="13" t="str">
        <x:v>Élevée</x:v>
      </x:c>
      <x:c r="I18" s="13" t="str"/>
    </x:row>
    <x:row r="19">
      <x:c r="A19" s="13" t="str">
        <x:v>AC</x:v>
      </x:c>
      <x:c r="B19" s="13" t="str">
        <x:v>AC_015</x:v>
      </x:c>
      <x:c r="C19" s="13" t="str">
        <x:v>VP.068</x:v>
      </x:c>
      <x:c r="D19" s="13" t="str">
        <x:v>Volume facturé AC</x:v>
      </x:c>
      <x:c r="E19" s="13" t="str">
        <x:v>m3/an</x:v>
      </x:c>
      <x:c r="F19" s="13" t="str">
        <x:v>sum</x:v>
      </x:c>
      <x:c r="G19" s="13" t="str">
        <x:v>https://www.services.eaufrance.fr/liste-des-variables-de-performances-des-services-d-assainissement-collectif</x:v>
      </x:c>
      <x:c r="H19" s="13" t="str">
        <x:v>Élevée</x:v>
      </x:c>
      <x:c r="I19" s="13" t="str"/>
    </x:row>
    <x:row r="20">
      <x:c r="A20" s="13" t="str">
        <x:v>AC</x:v>
      </x:c>
      <x:c r="B20" s="13" t="str">
        <x:v>TAR_005_AC</x:v>
      </x:c>
      <x:c r="C20" s="13" t="str">
        <x:v>D204.0</x:v>
      </x:c>
      <x:c r="D20" s="13" t="str">
        <x:v>Prix TTC assainissement collectif base 120m3</x:v>
      </x:c>
      <x:c r="E20" s="13" t="str">
        <x:v>EUR/m3</x:v>
      </x:c>
      <x:c r="F20" s="13" t="str">
        <x:v>territorial_method_to_define</x:v>
      </x:c>
      <x:c r="G20" s="13" t="str">
        <x:v>https://services.eaufrance.fr/indicateurs/D204.0</x:v>
      </x:c>
      <x:c r="H20" s="13" t="str">
        <x:v>À valider</x:v>
      </x:c>
      <x:c r="I20" s="13" t="str">
        <x:v>Ne pas agréger tant que la règle territoriale du prix n'est pas validée.</x:v>
      </x:c>
    </x:row>
    <x:row r="21">
      <x:c r="A21" s="13" t="str">
        <x:v>AC</x:v>
      </x:c>
      <x:c r="B21" s="13" t="str">
        <x:v>TAR_AC_COL</x:v>
      </x:c>
      <x:c r="C21" s="13" t="str">
        <x:v>VP.178</x:v>
      </x:c>
      <x:c r="D21" s="13" t="str">
        <x:v>Montant HT facture 120m3 revenant collectivité</x:v>
      </x:c>
      <x:c r="E21" s="13" t="str">
        <x:v>EUR</x:v>
      </x:c>
      <x:c r="F21" s="13" t="str">
        <x:v>service_level</x:v>
      </x:c>
      <x:c r="G21" s="13" t="str">
        <x:v>https://www.services.eaufrance.fr/liste-des-variables-de-performances-des-services-d-assainissement-collectif</x:v>
      </x:c>
      <x:c r="H21" s="13" t="str">
        <x:v>Élevée</x:v>
      </x:c>
      <x:c r="I21" s="13" t="str">
        <x:v>Conserver au niveau service ; agrégation territoriale non pertinente telle quelle.</x:v>
      </x:c>
    </x:row>
    <x:row r="22">
      <x:c r="A22" s="13" t="str">
        <x:v>AC</x:v>
      </x:c>
      <x:c r="B22" s="13" t="str">
        <x:v>TAR_AC_DEL</x:v>
      </x:c>
      <x:c r="C22" s="13" t="str">
        <x:v>VP.177</x:v>
      </x:c>
      <x:c r="D22" s="13" t="str">
        <x:v>Montant HT facture 120m3 revenant délégataire</x:v>
      </x:c>
      <x:c r="E22" s="13" t="str">
        <x:v>EUR</x:v>
      </x:c>
      <x:c r="F22" s="13" t="str">
        <x:v>service_level</x:v>
      </x:c>
      <x:c r="G22" s="13" t="str">
        <x:v>https://www.services.eaufrance.fr/liste-des-variables-de-performances-des-services-d-assainissement-collectif</x:v>
      </x:c>
      <x:c r="H22" s="13" t="str">
        <x:v>Élevée</x:v>
      </x:c>
      <x:c r="I22" s="13" t="str">
        <x:v>Conserver au niveau service ; agrégation territoriale non pertinente telle quelle.</x:v>
      </x:c>
    </x:row>
    <x:row r="23">
      <x:c r="A23" s="13" t="str">
        <x:v>AC</x:v>
      </x:c>
      <x:c r="B23" s="13" t="str">
        <x:v>TAR_AC_TAX</x:v>
      </x:c>
      <x:c r="C23" s="13" t="str">
        <x:v>VP.179</x:v>
      </x:c>
      <x:c r="D23" s="13" t="str">
        <x:v>Taxes et redevances facture 120m3</x:v>
      </x:c>
      <x:c r="E23" s="13" t="str">
        <x:v>EUR</x:v>
      </x:c>
      <x:c r="F23" s="13" t="str">
        <x:v>service_level</x:v>
      </x:c>
      <x:c r="G23" s="13" t="str">
        <x:v>https://www.services.eaufrance.fr/liste-des-variables-de-performances-des-services-d-assainissement-collectif</x:v>
      </x:c>
      <x:c r="H23" s="13" t="str">
        <x:v>Élevée</x:v>
      </x:c>
      <x:c r="I23" s="13" t="str">
        <x:v>Conserver au niveau service ; agrégation territoriale non pertinente telle quelle.</x:v>
      </x:c>
    </x:row>
    <x:row r="24">
      <x:c r="A24" s="13" t="str">
        <x:v>ANC</x:v>
      </x:c>
      <x:c r="B24" s="13" t="str">
        <x:v>ANC_002</x:v>
      </x:c>
      <x:c r="C24" s="13" t="str">
        <x:v>D301.0</x:v>
      </x:c>
      <x:c r="D24" s="13" t="str">
        <x:v>Nombre d'habitants desservis par le SPANC</x:v>
      </x:c>
      <x:c r="E24" s="13" t="str">
        <x:v>habitants</x:v>
      </x:c>
      <x:c r="F24" s="13" t="str">
        <x:v>sum</x:v>
      </x:c>
      <x:c r="G24" s="13" t="str">
        <x:v>https://www.services.eaufrance.fr/indicateurs/D301.0</x:v>
      </x:c>
      <x:c r="H24" s="13" t="str">
        <x:v>Élevée</x:v>
      </x:c>
      <x:c r="I24" s="13" t="str"/>
    </x:row>
    <x:row r="25">
      <x:c r="A25" s="13" t="str">
        <x:v>ANC</x:v>
      </x:c>
      <x:c r="B25" s="13" t="str">
        <x:v>ANC_003</x:v>
      </x:c>
      <x:c r="C25" s="13" t="str">
        <x:v>DC.306</x:v>
      </x:c>
      <x:c r="D25" s="13" t="str">
        <x:v>Nombre d'installations ANC domestiques et assimilées</x:v>
      </x:c>
      <x:c r="E25" s="13" t="str">
        <x:v>installations</x:v>
      </x:c>
      <x:c r="F25" s="13" t="str">
        <x:v>sum</x:v>
      </x:c>
      <x:c r="G25" s="13" t="str">
        <x:v>https://www.services.eaufrance.fr/liste-des-variables-d-assainissement-non-collectif</x:v>
      </x:c>
      <x:c r="H25" s="13" t="str">
        <x:v>Élevée</x:v>
      </x:c>
      <x:c r="I25" s="13" t="str"/>
    </x:row>
    <x:row r="26">
      <x:c r="A26" s="13" t="str">
        <x:v>ANC</x:v>
      </x:c>
      <x:c r="B26" s="13" t="str">
        <x:v>ANC_010_CONCEPTION</x:v>
      </x:c>
      <x:c r="C26" s="13" t="str">
        <x:v>DC.332</x:v>
      </x:c>
      <x:c r="D26" s="13" t="str">
        <x:v>Examens préalables de conception dans l'année</x:v>
      </x:c>
      <x:c r="E26" s="13" t="str">
        <x:v>contrôles</x:v>
      </x:c>
      <x:c r="F26" s="13" t="str">
        <x:v>sum</x:v>
      </x:c>
      <x:c r="G26" s="13" t="str">
        <x:v>https://www.services.eaufrance.fr/liste-des-variables-d-assainissement-non-collectif</x:v>
      </x:c>
      <x:c r="H26" s="13" t="str">
        <x:v>À valider</x:v>
      </x:c>
      <x:c r="I26" s="13" t="str">
        <x:v>Le rapport agrège sous « contrôles sur le neuf » ; la règle exacte entre conception et exécution doit être testée sur les vraies données.</x:v>
      </x:c>
    </x:row>
    <x:row r="27">
      <x:c r="A27" s="13" t="str">
        <x:v>ANC</x:v>
      </x:c>
      <x:c r="B27" s="13" t="str">
        <x:v>ANC_010_EXECUTION</x:v>
      </x:c>
      <x:c r="C27" s="13" t="str">
        <x:v>DC.333</x:v>
      </x:c>
      <x:c r="D27" s="13" t="str">
        <x:v>Vérifications d'exécution des travaux dans l'année</x:v>
      </x:c>
      <x:c r="E27" s="13" t="str">
        <x:v>contrôles</x:v>
      </x:c>
      <x:c r="F27" s="13" t="str">
        <x:v>sum</x:v>
      </x:c>
      <x:c r="G27" s="13" t="str">
        <x:v>https://www.services.eaufrance.fr/liste-des-variables-d-assainissement-non-collectif</x:v>
      </x:c>
      <x:c r="H27" s="13" t="str">
        <x:v>À valider</x:v>
      </x:c>
      <x:c r="I27" s="13" t="str">
        <x:v>Le rapport agrège sous « contrôles sur le neuf » ; la règle exacte entre conception et exécution doit être testée sur les vraies données.</x:v>
      </x:c>
    </x:row>
    <x:row r="28">
      <x:c r="A28" s="13" t="str">
        <x:v>ANC</x:v>
      </x:c>
      <x:c r="B28" s="13" t="str">
        <x:v>ANC_011</x:v>
      </x:c>
      <x:c r="C28" s="13" t="str">
        <x:v>VP.334</x:v>
      </x:c>
      <x:c r="D28" s="13" t="str">
        <x:v>Vérifications de fonctionnement et entretien dans l'année</x:v>
      </x:c>
      <x:c r="E28" s="13" t="str">
        <x:v>contrôles</x:v>
      </x:c>
      <x:c r="F28" s="13" t="str">
        <x:v>sum</x:v>
      </x:c>
      <x:c r="G28" s="13" t="str">
        <x:v>https://www.services.eaufrance.fr/liste-des-variables-d-assainissement-non-collectif</x:v>
      </x:c>
      <x:c r="H28" s="13" t="str">
        <x:v>Élevée</x:v>
      </x:c>
      <x:c r="I28" s="13" t="str"/>
    </x:row>
    <x:row r="29">
      <x:c r="A29" s="13" t="str">
        <x:v>ANC</x:v>
      </x:c>
      <x:c r="B29" s="13" t="str">
        <x:v>ANC_013</x:v>
      </x:c>
      <x:c r="C29" s="13" t="str">
        <x:v>P301.3</x:v>
      </x:c>
      <x:c r="D29" s="13" t="str">
        <x:v>Taux de conformité ANC</x:v>
      </x:c>
      <x:c r="E29" s="13" t="str">
        <x:v>%</x:v>
      </x:c>
      <x:c r="F29" s="13" t="str">
        <x:v>recompute_from_VP.166_VP.267_VP.167</x:v>
      </x:c>
      <x:c r="G29" s="13" t="str">
        <x:v>https://services.eaufrance.fr/indicateurs/P301.3</x:v>
      </x:c>
      <x:c r="H29" s="13" t="str">
        <x:v>Élevée</x:v>
      </x:c>
      <x:c r="I29" s="13" t="str"/>
    </x:row>
    <x:row r="30">
      <x:c r="A30" s="13" t="str">
        <x:v>ANC</x:v>
      </x:c>
      <x:c r="B30" s="13" t="str">
        <x:v>ANC_CONF_A</x:v>
      </x:c>
      <x:c r="C30" s="13" t="str">
        <x:v>VP.166</x:v>
      </x:c>
      <x:c r="D30" s="13" t="str">
        <x:v>Installations contrôlées conformes ou mises en conformité</x:v>
      </x:c>
      <x:c r="E30" s="13" t="str">
        <x:v>installations</x:v>
      </x:c>
      <x:c r="F30" s="13" t="str">
        <x:v>sum</x:v>
      </x:c>
      <x:c r="G30" s="13" t="str">
        <x:v>https://www.services.eaufrance.fr/liste-des-variables-d-assainissement-non-collectif</x:v>
      </x:c>
      <x:c r="H30" s="13" t="str">
        <x:v>Élevée</x:v>
      </x:c>
      <x:c r="I30" s="13" t="str"/>
    </x:row>
    <x:row r="31">
      <x:c r="A31" s="13" t="str">
        <x:v>ANC</x:v>
      </x:c>
      <x:c r="B31" s="13" t="str">
        <x:v>ANC_CONF_B</x:v>
      </x:c>
      <x:c r="C31" s="13" t="str">
        <x:v>VP.267</x:v>
      </x:c>
      <x:c r="D31" s="13" t="str">
        <x:v>Autres installations sans danger ou risque avéré</x:v>
      </x:c>
      <x:c r="E31" s="13" t="str">
        <x:v>installations</x:v>
      </x:c>
      <x:c r="F31" s="13" t="str">
        <x:v>sum</x:v>
      </x:c>
      <x:c r="G31" s="13" t="str">
        <x:v>https://www.services.eaufrance.fr/liste-des-variables-d-assainissement-non-collectif</x:v>
      </x:c>
      <x:c r="H31" s="13" t="str">
        <x:v>Élevée</x:v>
      </x:c>
      <x:c r="I31" s="13" t="str"/>
    </x:row>
    <x:row r="32">
      <x:c r="A32" s="13" t="str">
        <x:v>ANC</x:v>
      </x:c>
      <x:c r="B32" s="13" t="str">
        <x:v>ANC_CONF_DEN</x:v>
      </x:c>
      <x:c r="C32" s="13" t="str">
        <x:v>VP.167</x:v>
      </x:c>
      <x:c r="D32" s="13" t="str">
        <x:v>Installations contrôlées depuis création service</x:v>
      </x:c>
      <x:c r="E32" s="13" t="str">
        <x:v>installations</x:v>
      </x:c>
      <x:c r="F32" s="13" t="str">
        <x:v>sum</x:v>
      </x:c>
      <x:c r="G32" s="13" t="str">
        <x:v>https://www.services.eaufrance.fr/liste-des-variables-d-assainissement-non-collectif</x:v>
      </x:c>
      <x:c r="H32" s="13" t="str">
        <x:v>Élevée</x:v>
      </x:c>
      <x:c r="I32" s="13" t="str"/>
    </x:row>
  </x:sheetData>
  <x:conditionalFormatting sqref="H2:H32">
    <x:cfRule type="expression" dxfId="0" priority="1">
      <x:formula>H2="À valider"</x:formula>
    </x:cfRule>
    <x:cfRule type="expression" dxfId="1" priority="2">
      <x:formula>H2="Élevée"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7ee4ea80094f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4" hidden="0" customWidth="1"/>
    <x:col min="4" max="4" width="18" hidden="0" customWidth="1"/>
    <x:col min="5" max="5" width="18" hidden="0" customWidth="1"/>
    <x:col min="6" max="6" width="14" hidden="0" customWidth="1"/>
    <x:col min="7" max="7" width="10" hidden="0" customWidth="1"/>
  </x:cols>
  <x:sheetData>
    <x:row r="1">
      <x:c r="A1" s="17" t="str">
        <x:v>ID ODE</x:v>
      </x:c>
      <x:c r="B1" s="17" t="str">
        <x:v>Compétence</x:v>
      </x:c>
      <x:c r="C1" s="17" t="str">
        <x:v>Indicateur</x:v>
      </x:c>
      <x:c r="D1" s="17" t="str">
        <x:v>Territoire</x:v>
      </x:c>
      <x:c r="E1" s="17" t="str">
        <x:v>Valeur rapport</x:v>
      </x:c>
      <x:c r="F1" s="17" t="str">
        <x:v>Unité</x:v>
      </x:c>
      <x:c r="G1" s="17" t="str">
        <x:v>Page</x:v>
      </x:c>
    </x:row>
    <x:row r="2">
      <x:c r="A2" s="13" t="str">
        <x:v>EP_005</x:v>
      </x:c>
      <x:c r="B2" s="13" t="str">
        <x:v>EP</x:v>
      </x:c>
      <x:c r="C2" s="13" t="str">
        <x:v>Nombre d'abonnés AEP</x:v>
      </x:c>
      <x:c r="D2" s="13" t="str">
        <x:v>Martinique</x:v>
      </x:c>
      <x:c r="E2" s="13" t="n">
        <x:v>190066</x:v>
      </x:c>
      <x:c r="F2" s="13" t="str">
        <x:v>abonnés</x:v>
      </x:c>
      <x:c r="G2" s="13" t="str">
        <x:v>11</x:v>
      </x:c>
    </x:row>
    <x:row r="3">
      <x:c r="A3" s="13" t="str">
        <x:v>EP_006</x:v>
      </x:c>
      <x:c r="B3" s="13" t="str">
        <x:v>EP</x:v>
      </x:c>
      <x:c r="C3" s="13" t="str">
        <x:v>Volume facturé AEP</x:v>
      </x:c>
      <x:c r="D3" s="13" t="str">
        <x:v>Martinique</x:v>
      </x:c>
      <x:c r="E3" s="13" t="n">
        <x:v>21041846</x:v>
      </x:c>
      <x:c r="F3" s="13" t="str">
        <x:v>m3/an</x:v>
      </x:c>
      <x:c r="G3" s="13" t="str">
        <x:v>11</x:v>
      </x:c>
    </x:row>
    <x:row r="4">
      <x:c r="A4" s="13" t="str">
        <x:v>EP_007</x:v>
      </x:c>
      <x:c r="B4" s="13" t="str">
        <x:v>EP</x:v>
      </x:c>
      <x:c r="C4" s="13" t="str">
        <x:v>Volume produit</x:v>
      </x:c>
      <x:c r="D4" s="13" t="str">
        <x:v>Martinique</x:v>
      </x:c>
      <x:c r="E4" s="13" t="n">
        <x:v>41539655</x:v>
      </x:c>
      <x:c r="F4" s="13" t="str">
        <x:v>m3/an</x:v>
      </x:c>
      <x:c r="G4" s="13" t="str">
        <x:v>12</x:v>
      </x:c>
    </x:row>
    <x:row r="5">
      <x:c r="A5" s="13" t="str">
        <x:v>RES_014</x:v>
      </x:c>
      <x:c r="B5" s="13" t="str">
        <x:v>EP</x:v>
      </x:c>
      <x:c r="C5" s="13" t="str">
        <x:v>Volume prélevé AEP</x:v>
      </x:c>
      <x:c r="D5" s="13" t="str">
        <x:v>Martinique</x:v>
      </x:c>
      <x:c r="E5" s="13" t="n">
        <x:v>44771108</x:v>
      </x:c>
      <x:c r="F5" s="13" t="str">
        <x:v>m3/an</x:v>
      </x:c>
      <x:c r="G5" s="13" t="str">
        <x:v>8,12</x:v>
      </x:c>
    </x:row>
    <x:row r="6">
      <x:c r="A6" s="13" t="str">
        <x:v>EP_017</x:v>
      </x:c>
      <x:c r="B6" s="13" t="str">
        <x:v>EP</x:v>
      </x:c>
      <x:c r="C6" s="13" t="str">
        <x:v>Linéaire réseau AEP</x:v>
      </x:c>
      <x:c r="D6" s="13" t="str">
        <x:v>Martinique</x:v>
      </x:c>
      <x:c r="E6" s="13" t="n">
        <x:v>3867</x:v>
      </x:c>
      <x:c r="F6" s="13" t="str">
        <x:v>km</x:v>
      </x:c>
      <x:c r="G6" s="13" t="str">
        <x:v>13</x:v>
      </x:c>
    </x:row>
    <x:row r="7">
      <x:c r="A7" s="13" t="str">
        <x:v>AC_001</x:v>
      </x:c>
      <x:c r="B7" s="13" t="str">
        <x:v>AC</x:v>
      </x:c>
      <x:c r="C7" s="13" t="str">
        <x:v>Linéaire réseau AC</x:v>
      </x:c>
      <x:c r="D7" s="13" t="str">
        <x:v>Martinique</x:v>
      </x:c>
      <x:c r="E7" s="13" t="n">
        <x:v>901</x:v>
      </x:c>
      <x:c r="F7" s="13" t="str">
        <x:v>km</x:v>
      </x:c>
      <x:c r="G7" s="13" t="str">
        <x:v>18</x:v>
      </x:c>
    </x:row>
    <x:row r="8">
      <x:c r="A8" s="13" t="str">
        <x:v>AC_012</x:v>
      </x:c>
      <x:c r="B8" s="13" t="str">
        <x:v>AC</x:v>
      </x:c>
      <x:c r="C8" s="13" t="str">
        <x:v>Boues évacuées</x:v>
      </x:c>
      <x:c r="D8" s="13" t="str">
        <x:v>Martinique</x:v>
      </x:c>
      <x:c r="E8" s="13" t="n">
        <x:v>1622</x:v>
      </x:c>
      <x:c r="F8" s="13" t="str">
        <x:v>tMS/an</x:v>
      </x:c>
      <x:c r="G8" s="13" t="str">
        <x:v>23</x:v>
      </x:c>
    </x:row>
    <x:row r="9">
      <x:c r="A9" s="13" t="str">
        <x:v>AC_014</x:v>
      </x:c>
      <x:c r="B9" s="13" t="str">
        <x:v>AC</x:v>
      </x:c>
      <x:c r="C9" s="13" t="str">
        <x:v>Nombre d'abonnés AC</x:v>
      </x:c>
      <x:c r="D9" s="13" t="str">
        <x:v>Martinique</x:v>
      </x:c>
      <x:c r="E9" s="13" t="n">
        <x:v>80832</x:v>
      </x:c>
      <x:c r="F9" s="13" t="str">
        <x:v>abonnés</x:v>
      </x:c>
      <x:c r="G9" s="13" t="str">
        <x:v>24</x:v>
      </x:c>
    </x:row>
    <x:row r="10">
      <x:c r="A10" s="13" t="str">
        <x:v>AC_015</x:v>
      </x:c>
      <x:c r="B10" s="13" t="str">
        <x:v>AC</x:v>
      </x:c>
      <x:c r="C10" s="13" t="str">
        <x:v>Volume facturé AC</x:v>
      </x:c>
      <x:c r="D10" s="13" t="str">
        <x:v>Martinique</x:v>
      </x:c>
      <x:c r="E10" s="13" t="n">
        <x:v>9940643</x:v>
      </x:c>
      <x:c r="F10" s="13" t="str">
        <x:v>m3/an</x:v>
      </x:c>
      <x:c r="G10" s="13" t="str">
        <x:v>24</x:v>
      </x:c>
    </x:row>
    <x:row r="11">
      <x:c r="A11" s="13" t="str">
        <x:v>ANC_002</x:v>
      </x:c>
      <x:c r="B11" s="13" t="str">
        <x:v>ANC</x:v>
      </x:c>
      <x:c r="C11" s="13" t="str">
        <x:v>Population ANC</x:v>
      </x:c>
      <x:c r="D11" s="13" t="str">
        <x:v>Martinique</x:v>
      </x:c>
      <x:c r="E11" s="13" t="n">
        <x:v>205898</x:v>
      </x:c>
      <x:c r="F11" s="13" t="str">
        <x:v>habitants</x:v>
      </x:c>
      <x:c r="G11" s="13" t="str">
        <x:v>26</x:v>
      </x:c>
    </x:row>
    <x:row r="12">
      <x:c r="A12" s="13" t="str">
        <x:v>ANC_003</x:v>
      </x:c>
      <x:c r="B12" s="13" t="str">
        <x:v>ANC</x:v>
      </x:c>
      <x:c r="C12" s="13" t="str">
        <x:v>Dispositifs individuels estimés</x:v>
      </x:c>
      <x:c r="D12" s="13" t="str">
        <x:v>Martinique</x:v>
      </x:c>
      <x:c r="E12" s="13" t="n">
        <x:v>73000</x:v>
      </x:c>
      <x:c r="F12" s="13" t="str">
        <x:v>installations</x:v>
      </x:c>
      <x:c r="G12" s="13" t="str">
        <x:v>26,28</x:v>
      </x:c>
    </x:row>
    <x:row r="13">
      <x:c r="A13" s="13" t="str">
        <x:v>ANC_011</x:v>
      </x:c>
      <x:c r="B13" s="13" t="str">
        <x:v>ANC</x:v>
      </x:c>
      <x:c r="C13" s="13" t="str">
        <x:v>Contrôles sur l'existant</x:v>
      </x:c>
      <x:c r="D13" s="13" t="str">
        <x:v>Martinique</x:v>
      </x:c>
      <x:c r="E13" s="13" t="n">
        <x:v>591</x:v>
      </x:c>
      <x:c r="F13" s="13" t="str">
        <x:v>contrôles</x:v>
      </x:c>
      <x:c r="G13" s="13" t="str">
        <x:v>29</x:v>
      </x:c>
    </x:row>
  </x:sheetData>
  <x:pageMargins left="0.7" right="0.7" top="0.75" bottom="0.75" header="0.3" footer="0.3"/>
  <x:tableParts count="1">
    <x:tablePart xmlns:r="http://schemas.openxmlformats.org/officeDocument/2006/relationships" r:id="R32d8aa47eed14a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70" hidden="0" customWidth="1"/>
  </x:cols>
  <x:sheetData>
    <x:row r="1">
      <x:c r="A1" s="20" t="str">
        <x:v>Source</x:v>
      </x:c>
      <x:c r="B1" s="20" t="str">
        <x:v>Rôle dans le pipeline</x:v>
      </x:c>
      <x:c r="C1" s="20" t="str">
        <x:v>URL</x:v>
      </x:c>
    </x:row>
    <x:row r="2">
      <x:c r="A2" s="13" t="str">
        <x:v>Téléchargement Open Data SISPEA</x:v>
      </x:c>
      <x:c r="B2" s="13" t="str">
        <x:v>Données annuelles EP / AC / ANC, compositions communales, tarifs ; régénération hebdomadaire.</x:v>
      </x:c>
      <x:c r="C2" s="13" t="str">
        <x:v>https://www.services.eaufrance.fr/pro/telechargement</x:v>
      </x:c>
    </x:row>
    <x:row r="3">
      <x:c r="A3" s="13" t="str">
        <x:v>Indicateurs SISPEA</x:v>
      </x:c>
      <x:c r="B3" s="13" t="str">
        <x:v>Référentiel officiel des 42 indicateurs.</x:v>
      </x:c>
      <x:c r="C3" s="13" t="str">
        <x:v>https://www.services.eaufrance.fr/indicateurs</x:v>
      </x:c>
    </x:row>
    <x:row r="4">
      <x:c r="A4" s="13" t="str">
        <x:v>Variables eau potable</x:v>
      </x:c>
      <x:c r="B4" s="13" t="str">
        <x:v>VP.056, VP.059, VP.062, VP.068, VP.077, VP.140, VP.233, VP.234, variables tarifaires…</x:v>
      </x:c>
      <x:c r="C4" s="13" t="str">
        <x:v>https://www.services.eaufrance.fr/les-variables-de-performance-des-services-d-eau-potable</x:v>
      </x:c>
    </x:row>
    <x:row r="5">
      <x:c r="A5" s="13" t="str">
        <x:v>Variables assainissement collectif</x:v>
      </x:c>
      <x:c r="B5" s="13" t="str">
        <x:v>VP.056, VP.068, VP.077, VP.208 et variables tarifaires.</x:v>
      </x:c>
      <x:c r="C5" s="13" t="str">
        <x:v>https://www.services.eaufrance.fr/liste-des-variables-de-performances-des-services-d-assainissement-collectif</x:v>
      </x:c>
    </x:row>
    <x:row r="6">
      <x:c r="A6" s="13" t="str">
        <x:v>Variables ANC</x:v>
      </x:c>
      <x:c r="B6" s="13" t="str">
        <x:v>D301.0, DC.306, DC.332, DC.333, VP.334, VP.166, VP.267, VP.167…</x:v>
      </x:c>
      <x:c r="C6" s="13" t="str">
        <x:v>https://www.services.eaufrance.fr/liste-des-variables-d-assainissement-non-collectif</x:v>
      </x:c>
    </x:row>
  </x:sheetData>
  <x:pageMargins left="0.7" right="0.7" top="0.75" bottom="0.75" header="0.3" footer="0.3"/>
  <x:tableParts count="1">
    <x:tablePart xmlns:r="http://schemas.openxmlformats.org/officeDocument/2006/relationships" r:id="Ra79ed15f85fa44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8" hidden="0" customWidth="1"/>
    <x:col min="4" max="4" width="32" hidden="0" customWidth="1"/>
    <x:col min="5" max="5" width="30" hidden="0" customWidth="1"/>
    <x:col min="6" max="6" width="18" hidden="0" customWidth="1"/>
  </x:cols>
  <x:sheetData>
    <x:row r="1">
      <x:c r="A1" s="28" t="str">
        <x:v>Chaîne annuelle proposée</x:v>
      </x:c>
      <x:c r="B1" s="28"/>
      <x:c r="C1" s="28"/>
      <x:c r="D1" s="28"/>
      <x:c r="E1" s="28"/>
      <x:c r="F1" s="28"/>
    </x:row>
    <x:row r="3">
      <x:c r="A3" s="30" t="str">
        <x:v>Étape</x:v>
      </x:c>
      <x:c r="B3" s="30" t="str">
        <x:v>Entrée</x:v>
      </x:c>
      <x:c r="C3" s="30" t="str">
        <x:v>Traitement</x:v>
      </x:c>
      <x:c r="D3" s="30" t="str">
        <x:v>Sortie</x:v>
      </x:c>
      <x:c r="E3" s="30" t="str">
        <x:v>Contrôle</x:v>
      </x:c>
      <x:c r="F3" s="30" t="str">
        <x:v>Automatisation</x:v>
      </x:c>
    </x:row>
    <x:row r="4">
      <x:c r="A4" s="13" t="n">
        <x:v>1</x:v>
      </x:c>
      <x:c r="B4" s="13" t="str">
        <x:v>Page de téléchargement SISPEA</x:v>
      </x:c>
      <x:c r="C4" s="13" t="str">
        <x:v>Détection automatique des liens ODS EP/AC/ANC pour l'année</x:v>
      </x:c>
      <x:c r="D4" s="13" t="str">
        <x:v>Snapshots ODS</x:v>
      </x:c>
      <x:c r="E4" s="13" t="str">
        <x:v>Hash SHA-256, année</x:v>
      </x:c>
      <x:c r="F4" s="13" t="str">
        <x:v>Automatique</x:v>
      </x:c>
    </x:row>
    <x:row r="5">
      <x:c r="A5" s="13" t="n">
        <x:v>2</x:v>
      </x:c>
      <x:c r="B5" s="13" t="str">
        <x:v>ODS annuel</x:v>
      </x:c>
      <x:c r="C5" s="13" t="str">
        <x:v>Détection feuille services + ligne d'en-tête par codes métiers</x:v>
      </x:c>
      <x:c r="D5" s="13" t="str">
        <x:v>RAW normalisé</x:v>
      </x:c>
      <x:c r="E5" s="13" t="str">
        <x:v>Nombre de lignes, présence 972</x:v>
      </x:c>
      <x:c r="F5" s="13" t="str">
        <x:v>Automatique</x:v>
      </x:c>
    </x:row>
    <x:row r="6">
      <x:c r="A6" s="13" t="n">
        <x:v>3</x:v>
      </x:c>
      <x:c r="B6" s="13" t="str">
        <x:v>RAW</x:v>
      </x:c>
      <x:c r="C6" s="13" t="str">
        <x:v>Filtre département/région et extraction des codes SISPEA</x:v>
      </x:c>
      <x:c r="D6" s="13" t="str">
        <x:v>dim_service + fact_sispea_long</x:v>
      </x:c>
      <x:c r="E6" s="13" t="str">
        <x:v>IDs, statut, doublons</x:v>
      </x:c>
      <x:c r="F6" s="13" t="str">
        <x:v>Automatique</x:v>
      </x:c>
    </x:row>
    <x:row r="7">
      <x:c r="A7" s="13" t="n">
        <x:v>4</x:v>
      </x:c>
      <x:c r="B7" s="13" t="str">
        <x:v>Valeurs service</x:v>
      </x:c>
      <x:c r="C7" s="13" t="str">
        <x:v>Agrégations sûres + recomputations pondérées</x:v>
      </x:c>
      <x:c r="D7" s="13" t="str">
        <x:v>mart_ode_sispea</x:v>
      </x:c>
      <x:c r="E7" s="13" t="str">
        <x:v>Règles de consolidation</x:v>
      </x:c>
      <x:c r="F7" s="13" t="str">
        <x:v>Automatique</x:v>
      </x:c>
    </x:row>
    <x:row r="8">
      <x:c r="A8" s="13" t="n">
        <x:v>5</x:v>
      </x:c>
      <x:c r="B8" s="13" t="str">
        <x:v>Mart 2022</x:v>
      </x:c>
      <x:c r="C8" s="13" t="str">
        <x:v>Comparaison au rapport ODE</x:v>
      </x:c>
      <x:c r="D8" s="13" t="str">
        <x:v>validation_ode_2022</x:v>
      </x:c>
      <x:c r="E8" s="13" t="str">
        <x:v>Écarts absolus/relatifs</x:v>
      </x:c>
      <x:c r="F8" s="13" t="str">
        <x:v>Automatique</x:v>
      </x:c>
    </x:row>
    <x:row r="9">
      <x:c r="A9" s="13" t="n">
        <x:v>6</x:v>
      </x:c>
      <x:c r="B9" s="13" t="str">
        <x:v>Prix / contrôles ANC incertains</x:v>
      </x:c>
      <x:c r="C9" s="13" t="str">
        <x:v>Application après validation méthodologique</x:v>
      </x:c>
      <x:c r="D9" s="13" t="str">
        <x:v>Règles versionnées</x:v>
      </x:c>
      <x:c r="E9" s="13" t="str">
        <x:v>Journal des changements</x:v>
      </x:c>
      <x:c r="F9" s="13" t="str">
        <x:v>Semi-automatique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9684fea0d2e4104"/>
  </x:tableParts>
</x:worksheet>
</file>