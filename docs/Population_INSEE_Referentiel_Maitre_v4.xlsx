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1b64a72ae4a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6163d154822349e3"/>
    <x:sheet xmlns:r="http://schemas.openxmlformats.org/officeDocument/2006/relationships" name="Population_annuelle" sheetId="2" r:id="R2175c0c1d19b4ba2"/>
    <x:sheet xmlns:r="http://schemas.openxmlformats.org/officeDocument/2006/relationships" name="Population_officielle" sheetId="3" r:id="Rfbf28817838744ea"/>
    <x:sheet xmlns:r="http://schemas.openxmlformats.org/officeDocument/2006/relationships" name="Validation_population_2022" sheetId="4" r:id="R46fa8e004ca54ee6"/>
    <x:sheet xmlns:r="http://schemas.openxmlformats.org/officeDocument/2006/relationships" name="Referentiel_maitre_2022" sheetId="5" r:id="Reb18a0e68aee4435"/>
    <x:sheet xmlns:r="http://schemas.openxmlformats.org/officeDocument/2006/relationships" name="Qualite_maitre" sheetId="6" r:id="Rdba1fb6a7d964d42"/>
    <x:sheet xmlns:r="http://schemas.openxmlformats.org/officeDocument/2006/relationships" name="Politique_sources" sheetId="7" r:id="R15e8ec72f201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59A9A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A33A2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  <x:dxfs count="7">
    <x:dxf>
      <x:fill>
        <x:patternFill patternType="solid">
          <x:bgColor rgb="FFFFF0CC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EF7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47c2236a947bb" /><Relationship Type="http://schemas.openxmlformats.org/officeDocument/2006/relationships/theme" Target="/xl/theme/theme1.xml" Id="R290c40e9375948a8" /><Relationship Type="http://schemas.openxmlformats.org/officeDocument/2006/relationships/sharedStrings" Target="/xl/sharedStrings.xml" Id="R23bce98e93c84b14" /><Relationship Type="http://schemas.openxmlformats.org/officeDocument/2006/relationships/worksheet" Target="/xl/worksheets/sheet1.xml" Id="R6163d154822349e3" /><Relationship Type="http://schemas.openxmlformats.org/officeDocument/2006/relationships/worksheet" Target="/xl/worksheets/sheet2.xml" Id="R2175c0c1d19b4ba2" /><Relationship Type="http://schemas.openxmlformats.org/officeDocument/2006/relationships/worksheet" Target="/xl/worksheets/sheet3.xml" Id="Rfbf28817838744ea" /><Relationship Type="http://schemas.openxmlformats.org/officeDocument/2006/relationships/worksheet" Target="/xl/worksheets/sheet4.xml" Id="R46fa8e004ca54ee6" /><Relationship Type="http://schemas.openxmlformats.org/officeDocument/2006/relationships/worksheet" Target="/xl/worksheets/sheet5.xml" Id="Reb18a0e68aee4435" /><Relationship Type="http://schemas.openxmlformats.org/officeDocument/2006/relationships/worksheet" Target="/xl/worksheets/sheet6.xml" Id="Rdba1fb6a7d964d42" /><Relationship Type="http://schemas.openxmlformats.org/officeDocument/2006/relationships/worksheet" Target="/xl/worksheets/sheet7.xml" Id="R15e8ec72f20143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6d4da05bc245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Population utilisée par territoire — 2019 à 2024</a:t>
            </a:r>
          </a:p>
        </c:rich>
      </c:tx>
    </c:title>
    <c:plotArea>
      <c:lineChart>
        <c:grouping val="standard"/>
        <c:ser>
          <c:idx val="0"/>
          <c:order val="0"/>
          <c:tx>
            <c:v>Martinique</c:v>
          </c:tx>
          <c:marker>
            <c:symbol val="none"/>
          </c:marker>
          <c:cat>
            <c:strRef>
              <c:f>'Synthese'!$D$4:$D$9</c:f>
              <c:strCache>
                <c:ptCount val="0"/>
              </c:strCache>
            </c:strRef>
          </c:cat>
          <c:val>
            <c:numRef>
              <c:f>'Synthese'!$E$4:$E$9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CACEM</c:v>
          </c:tx>
          <c:marker>
            <c:symbol val="none"/>
          </c:marker>
          <c:cat>
            <c:strRef>
              <c:f>'Synthese'!$D$4:$D$9</c:f>
              <c:strCache>
                <c:ptCount val="0"/>
              </c:strCache>
            </c:strRef>
          </c:cat>
          <c:val>
            <c:numRef>
              <c:f>'Synthese'!$F$4:$F$9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CAESM</c:v>
          </c:tx>
          <c:marker>
            <c:symbol val="none"/>
          </c:marker>
          <c:cat>
            <c:strRef>
              <c:f>'Synthese'!$D$4:$D$9</c:f>
              <c:strCache>
                <c:ptCount val="0"/>
              </c:strCache>
            </c:strRef>
          </c:cat>
          <c:val>
            <c:numRef>
              <c:f>'Synthese'!$G$4:$G$9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CAP Nord</c:v>
          </c:tx>
          <c:marker>
            <c:symbol val="none"/>
          </c:marker>
          <c:cat>
            <c:strRef>
              <c:f>'Synthese'!$D$4:$D$9</c:f>
              <c:strCache>
                <c:ptCount val="0"/>
              </c:strCache>
            </c:strRef>
          </c:cat>
          <c:val>
            <c:numRef>
              <c:f>'Synthese'!$H$4:$H$9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6d4da05bc245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pulationResolvedTable" displayName="PopulationResolvedTable" ref="A1:H25" headerRowCount="1" totalsRowCount="0" totalsRowShown="0">
  <x:tableColumns count="8">
    <x:tableColumn id="1" name="Année indicateur"/>
    <x:tableColumn id="2" name="Territoire"/>
    <x:tableColumn id="3" name="Niveau"/>
    <x:tableColumn id="4" name="Code géo"/>
    <x:tableColumn id="5" name="Population utilisée"/>
    <x:tableColumn id="6" name="Millésime population"/>
    <x:tableColumn id="7" name="Statut résolution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pulationOfficialTable" displayName="PopulationOfficialTable" ref="A1:I21" headerRowCount="1" totalsRowCount="0" totalsRowShown="0">
  <x:tableColumns count="9">
    <x:tableColumn id="1" name="Année population"/>
    <x:tableColumn id="2" name="Niveau"/>
    <x:tableColumn id="3" name="Code géo"/>
    <x:tableColumn id="4" name="Territoire"/>
    <x:tableColumn id="5" name="Population municipale"/>
    <x:tableColumn id="6" name="Publication"/>
    <x:tableColumn id="7" name="Entrée en vigueur"/>
    <x:tableColumn id="8" name="URL source"/>
    <x:tableColumn id="9" name="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IndicatorTable" displayName="MasterIndicatorTable" ref="A1:O43" headerRowCount="1" totalsRowCount="0" totalsRowShown="0">
  <x:tableColumns count="15">
    <x:tableColumn id="1" name="Année"/>
    <x:tableColumn id="2" name="ID"/>
    <x:tableColumn id="3" name="Domaine"/>
    <x:tableColumn id="4" name="Territoire"/>
    <x:tableColumn id="5" name="Valeur"/>
    <x:tableColumn id="6" name="Unité"/>
    <x:tableColumn id="7" name="Source primaire"/>
    <x:tableColumn id="8" name="Détail"/>
    <x:tableColumn id="9" name="Fichier source"/>
    <x:tableColumn id="10" name="Snapshot"/>
    <x:tableColumn id="11" name="Couverture"/>
    <x:tableColumn id="12" name="Qualité"/>
    <x:tableColumn id="13" name="Rôle"/>
    <x:tableColumn id="14" name="Millésime pop."/>
    <x:tableColumn id="1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QualityTable" displayName="MasterQualityTable" ref="A1:G13" headerRowCount="1" totalsRowCount="0" totalsRowShown="0">
  <x:tableColumns count="7">
    <x:tableColumn id="1" name="Année"/>
    <x:tableColumn id="2" name="ID"/>
    <x:tableColumn id="3" name="Territoire"/>
    <x:tableColumn id="4" name="Sévérité"/>
    <x:tableColumn id="5" name="Couverture"/>
    <x:tableColumn id="6" name="Qualité"/>
    <x:tableColumn id="7" name="Mess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licyTable" displayName="PolicyTable" ref="A1:D10" headerRowCount="1" totalsRowCount="0" totalsRowShown="0">
  <x:tableColumns count="4">
    <x:tableColumn id="1" name="Domaine"/>
    <x:tableColumn id="2" name="Source primaire"/>
    <x:tableColumn id="3" name="Complément"/>
    <x:tableColumn id="4" name="Règ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1cef97a5144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78cb7b8df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17d1e525364d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d4ab670891c48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ba4eae2e90149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bb1b74612b14f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Référentiel Eau &amp; Assainissement — Population INSEE + Pipeline maître v4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Module ajouté</x:v>
      </x:c>
      <x:c r="B3" s="13" t="str">
        <x:v>INSEE — population municipale</x:v>
      </x:c>
      <x:c r="D3" s="17" t="str">
        <x:v>Millésime</x:v>
      </x:c>
      <x:c r="E3" s="17" t="str">
        <x:v>Martinique</x:v>
      </x:c>
      <x:c r="F3" s="17" t="str">
        <x:v>CACEM</x:v>
      </x:c>
      <x:c r="G3" s="17" t="str">
        <x:v>CAESM</x:v>
      </x:c>
      <x:c r="H3" s="17" t="str">
        <x:v>CAP Nord</x:v>
      </x:c>
    </x:row>
    <x:row r="4">
      <x:c r="A4" s="12" t="str">
        <x:v>API cible</x:v>
      </x:c>
      <x:c r="B4" s="13" t="str">
        <x:v>Melodi / DS_POPULATIONS_REFERENCE / PMUN</x:v>
      </x:c>
      <x:c r="D4" t="n">
        <x:v>2019</x:v>
      </x:c>
      <x:c r="E4" s="20" t="n">
        <x:v>364508</x:v>
      </x:c>
      <x:c r="F4" s="20" t="n">
        <x:v>152102</x:v>
      </x:c>
      <x:c r="G4" s="20" t="n">
        <x:v>114824</x:v>
      </x:c>
      <x:c r="H4" s="20" t="n">
        <x:v>97582</x:v>
      </x:c>
    </x:row>
    <x:row r="5">
      <x:c r="A5" s="12" t="str">
        <x:v>Historique chargé</x:v>
      </x:c>
      <x:c r="B5" s="13" t="str">
        <x:v>2019 à 2023</x:v>
      </x:c>
      <x:c r="D5" t="n">
        <x:v>2020</x:v>
      </x:c>
      <x:c r="E5" s="20" t="n">
        <x:v>361225</x:v>
      </x:c>
      <x:c r="F5" s="20" t="n">
        <x:v>150518</x:v>
      </x:c>
      <x:c r="G5" s="20" t="n">
        <x:v>114520</x:v>
      </x:c>
      <x:c r="H5" s="20" t="n">
        <x:v>96187</x:v>
      </x:c>
    </x:row>
    <x:row r="6">
      <x:c r="A6" s="12" t="str">
        <x:v>Population 2024 officielle</x:v>
      </x:c>
      <x:c r="B6" s="13" t="str">
        <x:v>Non disponible au 24/09/2026</x:v>
      </x:c>
      <x:c r="D6" t="n">
        <x:v>2021</x:v>
      </x:c>
      <x:c r="E6" s="20" t="n">
        <x:v>360749</x:v>
      </x:c>
      <x:c r="F6" s="20" t="n">
        <x:v>150038</x:v>
      </x:c>
      <x:c r="G6" s="20" t="n">
        <x:v>115068</x:v>
      </x:c>
      <x:c r="H6" s="20" t="n">
        <x:v>95643</x:v>
      </x:c>
    </x:row>
    <x:row r="7">
      <x:c r="A7" s="12" t="str">
        <x:v>Politique 2024</x:v>
      </x:c>
      <x:c r="B7" s="13" t="str">
        <x:v>Dernière officielle disponible (2023), avec statut explicite</x:v>
      </x:c>
      <x:c r="D7" t="n">
        <x:v>2022</x:v>
      </x:c>
      <x:c r="E7" s="20" t="n">
        <x:v>361019</x:v>
      </x:c>
      <x:c r="F7" s="20" t="n">
        <x:v>150323</x:v>
      </x:c>
      <x:c r="G7" s="20" t="n">
        <x:v>115038</x:v>
      </x:c>
      <x:c r="H7" s="20" t="n">
        <x:v>95658</x:v>
      </x:c>
    </x:row>
    <x:row r="8">
      <x:c r="A8" s="12" t="str">
        <x:v>Pipeline maître 2022</x:v>
      </x:c>
      <x:c r="B8" s="13" t="str">
        <x:v>42 lignes d'indicateurs</x:v>
      </x:c>
      <x:c r="D8" t="n">
        <x:v>2023</x:v>
      </x:c>
      <x:c r="E8" s="20" t="n">
        <x:v>360630</x:v>
      </x:c>
      <x:c r="F8" s="20" t="n">
        <x:v>150642</x:v>
      </x:c>
      <x:c r="G8" s="20" t="n">
        <x:v>114903</x:v>
      </x:c>
      <x:c r="H8" s="20" t="n">
        <x:v>95085</x:v>
      </x:c>
    </x:row>
    <x:row r="9">
      <x:c r="A9" s="12" t="str">
        <x:v>Production</x:v>
      </x:c>
      <x:c r="B9" s="13" t="str">
        <x:v>32 lignes</x:v>
      </x:c>
      <x:c r="D9" t="n">
        <x:v>2024</x:v>
      </x:c>
      <x:c r="E9" s="20" t="n">
        <x:v>360630</x:v>
      </x:c>
      <x:c r="F9" s="20" t="n">
        <x:v>150642</x:v>
      </x:c>
      <x:c r="G9" s="20" t="n">
        <x:v>114903</x:v>
      </x:c>
      <x:c r="H9" s="20" t="n">
        <x:v>95085</x:v>
      </x:c>
    </x:row>
    <x:row r="10">
      <x:c r="A10" s="12" t="str">
        <x:v>Diagnostic</x:v>
      </x:c>
      <x:c r="B10" s="13" t="str">
        <x:v>9 lignes</x:v>
      </x:c>
    </x:row>
    <x:row r="11">
      <x:c r="A11" s="12" t="str">
        <x:v>Validation</x:v>
      </x:c>
      <x:c r="B11" s="13" t="str">
        <x:v>1 ligne</x:v>
      </x:c>
    </x:row>
    <x:row r="14">
      <x:c r="A14" s="22" t="str">
        <x:v>Décisions importantes</x:v>
      </x:c>
      <x:c r="B14" s="22"/>
      <x:c r="C14" s="22"/>
      <x:c r="D14" s="22"/>
      <x:c r="E14" s="22"/>
      <x:c r="F14" s="22"/>
      <x:c r="G14" s="22"/>
      <x:c r="H14" s="22"/>
    </x:row>
    <x:row r="15">
      <x:c r="A15" s="25" t="str">
        <x:v>La population municipale INSEE devient le dénominateur par défaut des indicateurs « par habitant ».</x:v>
      </x:c>
      <x:c r="B15" s="25"/>
      <x:c r="C15" s="25"/>
      <x:c r="D15" s="25"/>
      <x:c r="E15" s="25"/>
      <x:c r="F15" s="25"/>
      <x:c r="G15" s="25"/>
      <x:c r="H15" s="25"/>
    </x:row>
    <x:row r="16">
      <x:c r="A16" s="29" t="str">
        <x:v>Le millésime de population est stocké séparément de l'année de l'indicateur eau.</x:v>
      </x:c>
      <x:c r="B16" s="29"/>
      <x:c r="C16" s="29"/>
      <x:c r="D16" s="29"/>
      <x:c r="E16" s="29"/>
      <x:c r="F16" s="29"/>
      <x:c r="G16" s="29"/>
      <x:c r="H16" s="29"/>
    </x:row>
    <x:row r="17">
      <x:c r="A17" s="25" t="str">
        <x:v>En 2022, 21 041 846 m³ facturés / 361 019 habitants / 365 = 159,68 L/j/hab, soit 160 L/j/hab après arrondi.</x:v>
      </x:c>
      <x:c r="B17" s="25"/>
      <x:c r="C17" s="25"/>
      <x:c r="D17" s="25"/>
      <x:c r="E17" s="25"/>
      <x:c r="F17" s="25"/>
      <x:c r="G17" s="25"/>
      <x:c r="H17" s="25"/>
    </x:row>
    <x:row r="18">
      <x:c r="A18" s="29" t="str">
        <x:v>Le ratio 42,5 % du rapport est bien un ratio abonnés AC / abonnés AEP ; il ne doit pas être nommé automatiquement « part de population raccordée ».</x:v>
      </x:c>
      <x:c r="B18" s="29"/>
      <x:c r="C18" s="29"/>
      <x:c r="D18" s="29"/>
      <x:c r="E18" s="29"/>
      <x:c r="F18" s="29"/>
      <x:c r="G18" s="29"/>
      <x:c r="H18" s="29"/>
    </x:row>
    <x:row r="19">
      <x:c r="A19" s="25" t="str">
        <x:v>Les valeurs 2024 peuvent être calculées avec la population 2023 uniquement comme repli temporaire, avec le statut DERNIERE_OFFICIELLE_DISPONIBLE.</x:v>
      </x:c>
      <x:c r="B19" s="25"/>
      <x:c r="C19" s="25"/>
      <x:c r="D19" s="25"/>
      <x:c r="E19" s="25"/>
      <x:c r="F19" s="25"/>
      <x:c r="G19" s="25"/>
      <x:c r="H19" s="25"/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ce01cef97a514420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2" hidden="0" customWidth="1"/>
    <x:col min="4" max="4" width="18" hidden="0" customWidth="1"/>
    <x:col min="5" max="5" width="20" hidden="0" customWidth="1"/>
    <x:col min="6" max="6" width="18" hidden="0" customWidth="1"/>
    <x:col min="7" max="7" width="34" hidden="0" customWidth="1"/>
    <x:col min="8" max="8" width="58" hidden="0" customWidth="1"/>
  </x:cols>
  <x:sheetData>
    <x:row r="1">
      <x:c r="A1" s="32" t="str">
        <x:v>Année indicateur</x:v>
      </x:c>
      <x:c r="B1" s="32" t="str">
        <x:v>Territoire</x:v>
      </x:c>
      <x:c r="C1" s="32" t="str">
        <x:v>Niveau</x:v>
      </x:c>
      <x:c r="D1" s="32" t="str">
        <x:v>Code géo</x:v>
      </x:c>
      <x:c r="E1" s="32" t="str">
        <x:v>Population utilisée</x:v>
      </x:c>
      <x:c r="F1" s="32" t="str">
        <x:v>Millésime population</x:v>
      </x:c>
      <x:c r="G1" s="32" t="str">
        <x:v>Statut résolution</x:v>
      </x:c>
      <x:c r="H1" s="32" t="str">
        <x:v>Source</x:v>
      </x:c>
    </x:row>
    <x:row r="2">
      <x:c r="A2" s="13" t="n">
        <x:v>2019</x:v>
      </x:c>
      <x:c r="B2" s="13" t="str">
        <x:v>Martinique</x:v>
      </x:c>
      <x:c r="C2" s="13" t="str">
        <x:v>DEP</x:v>
      </x:c>
      <x:c r="D2" s="13" t="str">
        <x:v>972</x:v>
      </x:c>
      <x:c r="E2" s="34" t="n">
        <x:v>364508</x:v>
      </x:c>
      <x:c r="F2" s="13" t="n">
        <x:v>2019</x:v>
      </x:c>
      <x:c r="G2" s="13" t="str">
        <x:v>OFFICIEL_MILLESIME_N</x:v>
      </x:c>
      <x:c r="H2" s="13" t="str">
        <x:v>https://www.insee.fr/fr/statistiques/6012596</x:v>
      </x:c>
    </x:row>
    <x:row r="3">
      <x:c r="A3" s="13" t="n">
        <x:v>2019</x:v>
      </x:c>
      <x:c r="B3" s="13" t="str">
        <x:v>CACEM</x:v>
      </x:c>
      <x:c r="C3" s="13" t="str">
        <x:v>EPCI</x:v>
      </x:c>
      <x:c r="D3" s="13" t="str">
        <x:v>249720061</x:v>
      </x:c>
      <x:c r="E3" s="34" t="n">
        <x:v>152102</x:v>
      </x:c>
      <x:c r="F3" s="13" t="n">
        <x:v>2019</x:v>
      </x:c>
      <x:c r="G3" s="13" t="str">
        <x:v>OFFICIEL_MILLESIME_N</x:v>
      </x:c>
      <x:c r="H3" s="13" t="str">
        <x:v>https://www.insee.fr/fr/statistiques/6012596</x:v>
      </x:c>
    </x:row>
    <x:row r="4">
      <x:c r="A4" s="13" t="n">
        <x:v>2019</x:v>
      </x:c>
      <x:c r="B4" s="13" t="str">
        <x:v>CAESM</x:v>
      </x:c>
      <x:c r="C4" s="13" t="str">
        <x:v>EPCI</x:v>
      </x:c>
      <x:c r="D4" s="13" t="str">
        <x:v>249720053</x:v>
      </x:c>
      <x:c r="E4" s="34" t="n">
        <x:v>114824</x:v>
      </x:c>
      <x:c r="F4" s="13" t="n">
        <x:v>2019</x:v>
      </x:c>
      <x:c r="G4" s="13" t="str">
        <x:v>OFFICIEL_MILLESIME_N</x:v>
      </x:c>
      <x:c r="H4" s="13" t="str">
        <x:v>https://www.insee.fr/fr/statistiques/6012596</x:v>
      </x:c>
    </x:row>
    <x:row r="5">
      <x:c r="A5" s="13" t="n">
        <x:v>2019</x:v>
      </x:c>
      <x:c r="B5" s="13" t="str">
        <x:v>CAP_NORD</x:v>
      </x:c>
      <x:c r="C5" s="13" t="str">
        <x:v>EPCI</x:v>
      </x:c>
      <x:c r="D5" s="13" t="str">
        <x:v>200041788</x:v>
      </x:c>
      <x:c r="E5" s="34" t="n">
        <x:v>97582</x:v>
      </x:c>
      <x:c r="F5" s="13" t="n">
        <x:v>2019</x:v>
      </x:c>
      <x:c r="G5" s="13" t="str">
        <x:v>OFFICIEL_MILLESIME_N</x:v>
      </x:c>
      <x:c r="H5" s="13" t="str">
        <x:v>https://www.insee.fr/fr/statistiques/6012596</x:v>
      </x:c>
    </x:row>
    <x:row r="6">
      <x:c r="A6" s="13" t="n">
        <x:v>2020</x:v>
      </x:c>
      <x:c r="B6" s="13" t="str">
        <x:v>Martinique</x:v>
      </x:c>
      <x:c r="C6" s="13" t="str">
        <x:v>DEP</x:v>
      </x:c>
      <x:c r="D6" s="13" t="str">
        <x:v>972</x:v>
      </x:c>
      <x:c r="E6" s="34" t="n">
        <x:v>361225</x:v>
      </x:c>
      <x:c r="F6" s="13" t="n">
        <x:v>2020</x:v>
      </x:c>
      <x:c r="G6" s="13" t="str">
        <x:v>OFFICIEL_MILLESIME_N</x:v>
      </x:c>
      <x:c r="H6" s="13" t="str">
        <x:v>https://www.insee.fr/fr/statistiques/6681780</x:v>
      </x:c>
    </x:row>
    <x:row r="7">
      <x:c r="A7" s="13" t="n">
        <x:v>2020</x:v>
      </x:c>
      <x:c r="B7" s="13" t="str">
        <x:v>CACEM</x:v>
      </x:c>
      <x:c r="C7" s="13" t="str">
        <x:v>EPCI</x:v>
      </x:c>
      <x:c r="D7" s="13" t="str">
        <x:v>249720061</x:v>
      </x:c>
      <x:c r="E7" s="34" t="n">
        <x:v>150518</x:v>
      </x:c>
      <x:c r="F7" s="13" t="n">
        <x:v>2020</x:v>
      </x:c>
      <x:c r="G7" s="13" t="str">
        <x:v>OFFICIEL_MILLESIME_N</x:v>
      </x:c>
      <x:c r="H7" s="13" t="str">
        <x:v>https://www.insee.fr/fr/statistiques/6681780</x:v>
      </x:c>
    </x:row>
    <x:row r="8">
      <x:c r="A8" s="13" t="n">
        <x:v>2020</x:v>
      </x:c>
      <x:c r="B8" s="13" t="str">
        <x:v>CAESM</x:v>
      </x:c>
      <x:c r="C8" s="13" t="str">
        <x:v>EPCI</x:v>
      </x:c>
      <x:c r="D8" s="13" t="str">
        <x:v>249720053</x:v>
      </x:c>
      <x:c r="E8" s="34" t="n">
        <x:v>114520</x:v>
      </x:c>
      <x:c r="F8" s="13" t="n">
        <x:v>2020</x:v>
      </x:c>
      <x:c r="G8" s="13" t="str">
        <x:v>OFFICIEL_MILLESIME_N</x:v>
      </x:c>
      <x:c r="H8" s="13" t="str">
        <x:v>https://www.insee.fr/fr/statistiques/6681780</x:v>
      </x:c>
    </x:row>
    <x:row r="9">
      <x:c r="A9" s="13" t="n">
        <x:v>2020</x:v>
      </x:c>
      <x:c r="B9" s="13" t="str">
        <x:v>CAP_NORD</x:v>
      </x:c>
      <x:c r="C9" s="13" t="str">
        <x:v>EPCI</x:v>
      </x:c>
      <x:c r="D9" s="13" t="str">
        <x:v>200041788</x:v>
      </x:c>
      <x:c r="E9" s="34" t="n">
        <x:v>96187</x:v>
      </x:c>
      <x:c r="F9" s="13" t="n">
        <x:v>2020</x:v>
      </x:c>
      <x:c r="G9" s="13" t="str">
        <x:v>OFFICIEL_MILLESIME_N</x:v>
      </x:c>
      <x:c r="H9" s="13" t="str">
        <x:v>https://www.insee.fr/fr/statistiques/6681780</x:v>
      </x:c>
    </x:row>
    <x:row r="10">
      <x:c r="A10" s="13" t="n">
        <x:v>2021</x:v>
      </x:c>
      <x:c r="B10" s="13" t="str">
        <x:v>Martinique</x:v>
      </x:c>
      <x:c r="C10" s="13" t="str">
        <x:v>DEP</x:v>
      </x:c>
      <x:c r="D10" s="13" t="str">
        <x:v>972</x:v>
      </x:c>
      <x:c r="E10" s="34" t="n">
        <x:v>360749</x:v>
      </x:c>
      <x:c r="F10" s="13" t="n">
        <x:v>2021</x:v>
      </x:c>
      <x:c r="G10" s="13" t="str">
        <x:v>OFFICIEL_MILLESIME_N</x:v>
      </x:c>
      <x:c r="H10" s="13" t="str">
        <x:v>https://www.insee.fr/fr/statistiques/7739431</x:v>
      </x:c>
    </x:row>
    <x:row r="11">
      <x:c r="A11" s="13" t="n">
        <x:v>2021</x:v>
      </x:c>
      <x:c r="B11" s="13" t="str">
        <x:v>CACEM</x:v>
      </x:c>
      <x:c r="C11" s="13" t="str">
        <x:v>EPCI</x:v>
      </x:c>
      <x:c r="D11" s="13" t="str">
        <x:v>249720061</x:v>
      </x:c>
      <x:c r="E11" s="34" t="n">
        <x:v>150038</x:v>
      </x:c>
      <x:c r="F11" s="13" t="n">
        <x:v>2021</x:v>
      </x:c>
      <x:c r="G11" s="13" t="str">
        <x:v>OFFICIEL_MILLESIME_N</x:v>
      </x:c>
      <x:c r="H11" s="13" t="str">
        <x:v>https://www.insee.fr/fr/statistiques/7739431</x:v>
      </x:c>
    </x:row>
    <x:row r="12">
      <x:c r="A12" s="13" t="n">
        <x:v>2021</x:v>
      </x:c>
      <x:c r="B12" s="13" t="str">
        <x:v>CAESM</x:v>
      </x:c>
      <x:c r="C12" s="13" t="str">
        <x:v>EPCI</x:v>
      </x:c>
      <x:c r="D12" s="13" t="str">
        <x:v>249720053</x:v>
      </x:c>
      <x:c r="E12" s="34" t="n">
        <x:v>115068</x:v>
      </x:c>
      <x:c r="F12" s="13" t="n">
        <x:v>2021</x:v>
      </x:c>
      <x:c r="G12" s="13" t="str">
        <x:v>OFFICIEL_MILLESIME_N</x:v>
      </x:c>
      <x:c r="H12" s="13" t="str">
        <x:v>https://www.insee.fr/fr/statistiques/7739431</x:v>
      </x:c>
    </x:row>
    <x:row r="13">
      <x:c r="A13" s="13" t="n">
        <x:v>2021</x:v>
      </x:c>
      <x:c r="B13" s="13" t="str">
        <x:v>CAP_NORD</x:v>
      </x:c>
      <x:c r="C13" s="13" t="str">
        <x:v>EPCI</x:v>
      </x:c>
      <x:c r="D13" s="13" t="str">
        <x:v>200041788</x:v>
      </x:c>
      <x:c r="E13" s="34" t="n">
        <x:v>95643</x:v>
      </x:c>
      <x:c r="F13" s="13" t="n">
        <x:v>2021</x:v>
      </x:c>
      <x:c r="G13" s="13" t="str">
        <x:v>OFFICIEL_MILLESIME_N</x:v>
      </x:c>
      <x:c r="H13" s="13" t="str">
        <x:v>https://www.insee.fr/fr/statistiques/7739431</x:v>
      </x:c>
    </x:row>
    <x:row r="14">
      <x:c r="A14" s="13" t="n">
        <x:v>2022</x:v>
      </x:c>
      <x:c r="B14" s="13" t="str">
        <x:v>Martinique</x:v>
      </x:c>
      <x:c r="C14" s="13" t="str">
        <x:v>DEP</x:v>
      </x:c>
      <x:c r="D14" s="13" t="str">
        <x:v>972</x:v>
      </x:c>
      <x:c r="E14" s="34" t="n">
        <x:v>361019</x:v>
      </x:c>
      <x:c r="F14" s="13" t="n">
        <x:v>2022</x:v>
      </x:c>
      <x:c r="G14" s="13" t="str">
        <x:v>OFFICIEL_MILLESIME_N</x:v>
      </x:c>
      <x:c r="H14" s="13" t="str">
        <x:v>https://www.insee.fr/fr/statistiques/8312319</x:v>
      </x:c>
    </x:row>
    <x:row r="15">
      <x:c r="A15" s="13" t="n">
        <x:v>2022</x:v>
      </x:c>
      <x:c r="B15" s="13" t="str">
        <x:v>CACEM</x:v>
      </x:c>
      <x:c r="C15" s="13" t="str">
        <x:v>EPCI</x:v>
      </x:c>
      <x:c r="D15" s="13" t="str">
        <x:v>249720061</x:v>
      </x:c>
      <x:c r="E15" s="34" t="n">
        <x:v>150323</x:v>
      </x:c>
      <x:c r="F15" s="13" t="n">
        <x:v>2022</x:v>
      </x:c>
      <x:c r="G15" s="13" t="str">
        <x:v>OFFICIEL_MILLESIME_N</x:v>
      </x:c>
      <x:c r="H15" s="13" t="str">
        <x:v>https://www.insee.fr/fr/statistiques/8312319</x:v>
      </x:c>
    </x:row>
    <x:row r="16">
      <x:c r="A16" s="13" t="n">
        <x:v>2022</x:v>
      </x:c>
      <x:c r="B16" s="13" t="str">
        <x:v>CAESM</x:v>
      </x:c>
      <x:c r="C16" s="13" t="str">
        <x:v>EPCI</x:v>
      </x:c>
      <x:c r="D16" s="13" t="str">
        <x:v>249720053</x:v>
      </x:c>
      <x:c r="E16" s="34" t="n">
        <x:v>115038</x:v>
      </x:c>
      <x:c r="F16" s="13" t="n">
        <x:v>2022</x:v>
      </x:c>
      <x:c r="G16" s="13" t="str">
        <x:v>OFFICIEL_MILLESIME_N</x:v>
      </x:c>
      <x:c r="H16" s="13" t="str">
        <x:v>https://www.insee.fr/fr/statistiques/8312319</x:v>
      </x:c>
    </x:row>
    <x:row r="17">
      <x:c r="A17" s="13" t="n">
        <x:v>2022</x:v>
      </x:c>
      <x:c r="B17" s="13" t="str">
        <x:v>CAP_NORD</x:v>
      </x:c>
      <x:c r="C17" s="13" t="str">
        <x:v>EPCI</x:v>
      </x:c>
      <x:c r="D17" s="13" t="str">
        <x:v>200041788</x:v>
      </x:c>
      <x:c r="E17" s="34" t="n">
        <x:v>95658</x:v>
      </x:c>
      <x:c r="F17" s="13" t="n">
        <x:v>2022</x:v>
      </x:c>
      <x:c r="G17" s="13" t="str">
        <x:v>OFFICIEL_MILLESIME_N</x:v>
      </x:c>
      <x:c r="H17" s="13" t="str">
        <x:v>https://www.insee.fr/fr/statistiques/8312319</x:v>
      </x:c>
    </x:row>
    <x:row r="18">
      <x:c r="A18" s="13" t="n">
        <x:v>2023</x:v>
      </x:c>
      <x:c r="B18" s="13" t="str">
        <x:v>Martinique</x:v>
      </x:c>
      <x:c r="C18" s="13" t="str">
        <x:v>DEP</x:v>
      </x:c>
      <x:c r="D18" s="13" t="str">
        <x:v>972</x:v>
      </x:c>
      <x:c r="E18" s="34" t="n">
        <x:v>360630</x:v>
      </x:c>
      <x:c r="F18" s="13" t="n">
        <x:v>2023</x:v>
      </x:c>
      <x:c r="G18" s="13" t="str">
        <x:v>OFFICIEL_MILLESIME_N</x:v>
      </x:c>
      <x:c r="H18" s="13" t="str">
        <x:v>https://www.insee.fr/fr/statistiques/8684112</x:v>
      </x:c>
    </x:row>
    <x:row r="19">
      <x:c r="A19" s="13" t="n">
        <x:v>2023</x:v>
      </x:c>
      <x:c r="B19" s="13" t="str">
        <x:v>CACEM</x:v>
      </x:c>
      <x:c r="C19" s="13" t="str">
        <x:v>EPCI</x:v>
      </x:c>
      <x:c r="D19" s="13" t="str">
        <x:v>249720061</x:v>
      </x:c>
      <x:c r="E19" s="34" t="n">
        <x:v>150642</x:v>
      </x:c>
      <x:c r="F19" s="13" t="n">
        <x:v>2023</x:v>
      </x:c>
      <x:c r="G19" s="13" t="str">
        <x:v>OFFICIEL_MILLESIME_N</x:v>
      </x:c>
      <x:c r="H19" s="13" t="str">
        <x:v>https://www.insee.fr/fr/statistiques/8684112</x:v>
      </x:c>
    </x:row>
    <x:row r="20">
      <x:c r="A20" s="13" t="n">
        <x:v>2023</x:v>
      </x:c>
      <x:c r="B20" s="13" t="str">
        <x:v>CAESM</x:v>
      </x:c>
      <x:c r="C20" s="13" t="str">
        <x:v>EPCI</x:v>
      </x:c>
      <x:c r="D20" s="13" t="str">
        <x:v>249720053</x:v>
      </x:c>
      <x:c r="E20" s="34" t="n">
        <x:v>114903</x:v>
      </x:c>
      <x:c r="F20" s="13" t="n">
        <x:v>2023</x:v>
      </x:c>
      <x:c r="G20" s="13" t="str">
        <x:v>OFFICIEL_MILLESIME_N</x:v>
      </x:c>
      <x:c r="H20" s="13" t="str">
        <x:v>https://www.insee.fr/fr/statistiques/8684112</x:v>
      </x:c>
    </x:row>
    <x:row r="21">
      <x:c r="A21" s="13" t="n">
        <x:v>2023</x:v>
      </x:c>
      <x:c r="B21" s="13" t="str">
        <x:v>CAP_NORD</x:v>
      </x:c>
      <x:c r="C21" s="13" t="str">
        <x:v>EPCI</x:v>
      </x:c>
      <x:c r="D21" s="13" t="str">
        <x:v>200041788</x:v>
      </x:c>
      <x:c r="E21" s="34" t="n">
        <x:v>95085</x:v>
      </x:c>
      <x:c r="F21" s="13" t="n">
        <x:v>2023</x:v>
      </x:c>
      <x:c r="G21" s="13" t="str">
        <x:v>OFFICIEL_MILLESIME_N</x:v>
      </x:c>
      <x:c r="H21" s="13" t="str">
        <x:v>https://www.insee.fr/fr/statistiques/8684112</x:v>
      </x:c>
    </x:row>
    <x:row r="22">
      <x:c r="A22" s="13" t="n">
        <x:v>2024</x:v>
      </x:c>
      <x:c r="B22" s="13" t="str">
        <x:v>Martinique</x:v>
      </x:c>
      <x:c r="C22" s="13" t="str">
        <x:v>DEP</x:v>
      </x:c>
      <x:c r="D22" s="13" t="str">
        <x:v>972</x:v>
      </x:c>
      <x:c r="E22" s="34" t="n">
        <x:v>360630</x:v>
      </x:c>
      <x:c r="F22" s="13" t="n">
        <x:v>2023</x:v>
      </x:c>
      <x:c r="G22" s="13" t="str">
        <x:v>DERNIERE_OFFICIELLE_DISPONIBLE</x:v>
      </x:c>
      <x:c r="H22" s="13" t="str">
        <x:v>https://www.insee.fr/fr/statistiques/8684112</x:v>
      </x:c>
    </x:row>
    <x:row r="23">
      <x:c r="A23" s="13" t="n">
        <x:v>2024</x:v>
      </x:c>
      <x:c r="B23" s="13" t="str">
        <x:v>CACEM</x:v>
      </x:c>
      <x:c r="C23" s="13" t="str">
        <x:v>EPCI</x:v>
      </x:c>
      <x:c r="D23" s="13" t="str">
        <x:v>249720061</x:v>
      </x:c>
      <x:c r="E23" s="34" t="n">
        <x:v>150642</x:v>
      </x:c>
      <x:c r="F23" s="13" t="n">
        <x:v>2023</x:v>
      </x:c>
      <x:c r="G23" s="13" t="str">
        <x:v>DERNIERE_OFFICIELLE_DISPONIBLE</x:v>
      </x:c>
      <x:c r="H23" s="13" t="str">
        <x:v>https://www.insee.fr/fr/statistiques/8684112</x:v>
      </x:c>
    </x:row>
    <x:row r="24">
      <x:c r="A24" s="13" t="n">
        <x:v>2024</x:v>
      </x:c>
      <x:c r="B24" s="13" t="str">
        <x:v>CAESM</x:v>
      </x:c>
      <x:c r="C24" s="13" t="str">
        <x:v>EPCI</x:v>
      </x:c>
      <x:c r="D24" s="13" t="str">
        <x:v>249720053</x:v>
      </x:c>
      <x:c r="E24" s="34" t="n">
        <x:v>114903</x:v>
      </x:c>
      <x:c r="F24" s="13" t="n">
        <x:v>2023</x:v>
      </x:c>
      <x:c r="G24" s="13" t="str">
        <x:v>DERNIERE_OFFICIELLE_DISPONIBLE</x:v>
      </x:c>
      <x:c r="H24" s="13" t="str">
        <x:v>https://www.insee.fr/fr/statistiques/8684112</x:v>
      </x:c>
    </x:row>
    <x:row r="25">
      <x:c r="A25" s="13" t="n">
        <x:v>2024</x:v>
      </x:c>
      <x:c r="B25" s="13" t="str">
        <x:v>CAP_NORD</x:v>
      </x:c>
      <x:c r="C25" s="13" t="str">
        <x:v>EPCI</x:v>
      </x:c>
      <x:c r="D25" s="13" t="str">
        <x:v>200041788</x:v>
      </x:c>
      <x:c r="E25" s="34" t="n">
        <x:v>95085</x:v>
      </x:c>
      <x:c r="F25" s="13" t="n">
        <x:v>2023</x:v>
      </x:c>
      <x:c r="G25" s="13" t="str">
        <x:v>DERNIERE_OFFICIELLE_DISPONIBLE</x:v>
      </x:c>
      <x:c r="H25" s="13" t="str">
        <x:v>https://www.insee.fr/fr/statistiques/8684112</x:v>
      </x:c>
    </x:row>
  </x:sheetData>
  <x:conditionalFormatting sqref="G2:G25">
    <x:cfRule type="expression" dxfId="0" priority="1">
      <x:formula>G2="DERNIERE_OFFICIELLE_DISPONIBLE"</x:formula>
    </x:cfRule>
    <x:cfRule type="expression" dxfId="1" priority="2">
      <x:formula>G2="OFFICIEL_MILLESIME_N"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078cb7b8df4e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8" hidden="0" customWidth="1"/>
    <x:col min="8" max="8" width="58" hidden="0" customWidth="1"/>
    <x:col min="9" max="9" width="20" hidden="0" customWidth="1"/>
  </x:cols>
  <x:sheetData>
    <x:row r="1">
      <x:c r="A1" s="36" t="str">
        <x:v>Année population</x:v>
      </x:c>
      <x:c r="B1" s="36" t="str">
        <x:v>Niveau</x:v>
      </x:c>
      <x:c r="C1" s="36" t="str">
        <x:v>Code géo</x:v>
      </x:c>
      <x:c r="D1" s="36" t="str">
        <x:v>Territoire</x:v>
      </x:c>
      <x:c r="E1" s="36" t="str">
        <x:v>Population municipale</x:v>
      </x:c>
      <x:c r="F1" s="36" t="str">
        <x:v>Publication</x:v>
      </x:c>
      <x:c r="G1" s="36" t="str">
        <x:v>Entrée en vigueur</x:v>
      </x:c>
      <x:c r="H1" s="36" t="str">
        <x:v>URL source</x:v>
      </x:c>
      <x:c r="I1" s="36" t="str">
        <x:v>Type</x:v>
      </x:c>
    </x:row>
    <x:row r="2">
      <x:c r="A2" s="13" t="n">
        <x:v>2019</x:v>
      </x:c>
      <x:c r="B2" s="13" t="str">
        <x:v>DEP</x:v>
      </x:c>
      <x:c r="C2" s="13" t="str">
        <x:v>972</x:v>
      </x:c>
      <x:c r="D2" s="13" t="str">
        <x:v>Martinique</x:v>
      </x:c>
      <x:c r="E2" s="34" t="n">
        <x:v>364508</x:v>
      </x:c>
      <x:c r="F2" s="13" t="str">
        <x:v>2021-12-29</x:v>
      </x:c>
      <x:c r="G2" s="13" t="str">
        <x:v>2022-01-01</x:v>
      </x:c>
      <x:c r="H2" s="13" t="str">
        <x:v>https://www.insee.fr/fr/statistiques/6012596</x:v>
      </x:c>
      <x:c r="I2" s="13" t="str">
        <x:v>INSEE_RECENSEMENT</x:v>
      </x:c>
    </x:row>
    <x:row r="3">
      <x:c r="A3" s="13" t="n">
        <x:v>2019</x:v>
      </x:c>
      <x:c r="B3" s="13" t="str">
        <x:v>EPCI</x:v>
      </x:c>
      <x:c r="C3" s="13" t="str">
        <x:v>249720061</x:v>
      </x:c>
      <x:c r="D3" s="13" t="str">
        <x:v>CACEM</x:v>
      </x:c>
      <x:c r="E3" s="34" t="n">
        <x:v>152102</x:v>
      </x:c>
      <x:c r="F3" s="13" t="str">
        <x:v>2021-12-29</x:v>
      </x:c>
      <x:c r="G3" s="13" t="str">
        <x:v>2022-01-01</x:v>
      </x:c>
      <x:c r="H3" s="13" t="str">
        <x:v>https://www.insee.fr/fr/statistiques/6012596</x:v>
      </x:c>
      <x:c r="I3" s="13" t="str">
        <x:v>INSEE_RECENSEMENT</x:v>
      </x:c>
    </x:row>
    <x:row r="4">
      <x:c r="A4" s="13" t="n">
        <x:v>2019</x:v>
      </x:c>
      <x:c r="B4" s="13" t="str">
        <x:v>EPCI</x:v>
      </x:c>
      <x:c r="C4" s="13" t="str">
        <x:v>249720053</x:v>
      </x:c>
      <x:c r="D4" s="13" t="str">
        <x:v>CAESM</x:v>
      </x:c>
      <x:c r="E4" s="34" t="n">
        <x:v>114824</x:v>
      </x:c>
      <x:c r="F4" s="13" t="str">
        <x:v>2021-12-29</x:v>
      </x:c>
      <x:c r="G4" s="13" t="str">
        <x:v>2022-01-01</x:v>
      </x:c>
      <x:c r="H4" s="13" t="str">
        <x:v>https://www.insee.fr/fr/statistiques/6012596</x:v>
      </x:c>
      <x:c r="I4" s="13" t="str">
        <x:v>INSEE_RECENSEMENT</x:v>
      </x:c>
    </x:row>
    <x:row r="5">
      <x:c r="A5" s="13" t="n">
        <x:v>2019</x:v>
      </x:c>
      <x:c r="B5" s="13" t="str">
        <x:v>EPCI</x:v>
      </x:c>
      <x:c r="C5" s="13" t="str">
        <x:v>200041788</x:v>
      </x:c>
      <x:c r="D5" s="13" t="str">
        <x:v>CAP_NORD</x:v>
      </x:c>
      <x:c r="E5" s="34" t="n">
        <x:v>97582</x:v>
      </x:c>
      <x:c r="F5" s="13" t="str">
        <x:v>2021-12-29</x:v>
      </x:c>
      <x:c r="G5" s="13" t="str">
        <x:v>2022-01-01</x:v>
      </x:c>
      <x:c r="H5" s="13" t="str">
        <x:v>https://www.insee.fr/fr/statistiques/6012596</x:v>
      </x:c>
      <x:c r="I5" s="13" t="str">
        <x:v>INSEE_RECENSEMENT</x:v>
      </x:c>
    </x:row>
    <x:row r="6">
      <x:c r="A6" s="13" t="n">
        <x:v>2020</x:v>
      </x:c>
      <x:c r="B6" s="13" t="str">
        <x:v>DEP</x:v>
      </x:c>
      <x:c r="C6" s="13" t="str">
        <x:v>972</x:v>
      </x:c>
      <x:c r="D6" s="13" t="str">
        <x:v>Martinique</x:v>
      </x:c>
      <x:c r="E6" s="34" t="n">
        <x:v>361225</x:v>
      </x:c>
      <x:c r="F6" s="13" t="str">
        <x:v>2022-12-29</x:v>
      </x:c>
      <x:c r="G6" s="13" t="str">
        <x:v>2023-01-01</x:v>
      </x:c>
      <x:c r="H6" s="13" t="str">
        <x:v>https://www.insee.fr/fr/statistiques/6681780</x:v>
      </x:c>
      <x:c r="I6" s="13" t="str">
        <x:v>INSEE_RECENSEMENT</x:v>
      </x:c>
    </x:row>
    <x:row r="7">
      <x:c r="A7" s="13" t="n">
        <x:v>2020</x:v>
      </x:c>
      <x:c r="B7" s="13" t="str">
        <x:v>EPCI</x:v>
      </x:c>
      <x:c r="C7" s="13" t="str">
        <x:v>249720061</x:v>
      </x:c>
      <x:c r="D7" s="13" t="str">
        <x:v>CACEM</x:v>
      </x:c>
      <x:c r="E7" s="34" t="n">
        <x:v>150518</x:v>
      </x:c>
      <x:c r="F7" s="13" t="str">
        <x:v>2022-12-29</x:v>
      </x:c>
      <x:c r="G7" s="13" t="str">
        <x:v>2023-01-01</x:v>
      </x:c>
      <x:c r="H7" s="13" t="str">
        <x:v>https://www.insee.fr/fr/statistiques/6681780</x:v>
      </x:c>
      <x:c r="I7" s="13" t="str">
        <x:v>INSEE_RECENSEMENT</x:v>
      </x:c>
    </x:row>
    <x:row r="8">
      <x:c r="A8" s="13" t="n">
        <x:v>2020</x:v>
      </x:c>
      <x:c r="B8" s="13" t="str">
        <x:v>EPCI</x:v>
      </x:c>
      <x:c r="C8" s="13" t="str">
        <x:v>249720053</x:v>
      </x:c>
      <x:c r="D8" s="13" t="str">
        <x:v>CAESM</x:v>
      </x:c>
      <x:c r="E8" s="34" t="n">
        <x:v>114520</x:v>
      </x:c>
      <x:c r="F8" s="13" t="str">
        <x:v>2022-12-29</x:v>
      </x:c>
      <x:c r="G8" s="13" t="str">
        <x:v>2023-01-01</x:v>
      </x:c>
      <x:c r="H8" s="13" t="str">
        <x:v>https://www.insee.fr/fr/statistiques/6681780</x:v>
      </x:c>
      <x:c r="I8" s="13" t="str">
        <x:v>INSEE_RECENSEMENT</x:v>
      </x:c>
    </x:row>
    <x:row r="9">
      <x:c r="A9" s="13" t="n">
        <x:v>2020</x:v>
      </x:c>
      <x:c r="B9" s="13" t="str">
        <x:v>EPCI</x:v>
      </x:c>
      <x:c r="C9" s="13" t="str">
        <x:v>200041788</x:v>
      </x:c>
      <x:c r="D9" s="13" t="str">
        <x:v>CAP_NORD</x:v>
      </x:c>
      <x:c r="E9" s="34" t="n">
        <x:v>96187</x:v>
      </x:c>
      <x:c r="F9" s="13" t="str">
        <x:v>2022-12-29</x:v>
      </x:c>
      <x:c r="G9" s="13" t="str">
        <x:v>2023-01-01</x:v>
      </x:c>
      <x:c r="H9" s="13" t="str">
        <x:v>https://www.insee.fr/fr/statistiques/6681780</x:v>
      </x:c>
      <x:c r="I9" s="13" t="str">
        <x:v>INSEE_RECENSEMENT</x:v>
      </x:c>
    </x:row>
    <x:row r="10">
      <x:c r="A10" s="13" t="n">
        <x:v>2021</x:v>
      </x:c>
      <x:c r="B10" s="13" t="str">
        <x:v>DEP</x:v>
      </x:c>
      <x:c r="C10" s="13" t="str">
        <x:v>972</x:v>
      </x:c>
      <x:c r="D10" s="13" t="str">
        <x:v>Martinique</x:v>
      </x:c>
      <x:c r="E10" s="34" t="n">
        <x:v>360749</x:v>
      </x:c>
      <x:c r="F10" s="13" t="str">
        <x:v>2023-12-28</x:v>
      </x:c>
      <x:c r="G10" s="13" t="str">
        <x:v>2024-01-01</x:v>
      </x:c>
      <x:c r="H10" s="13" t="str">
        <x:v>https://www.insee.fr/fr/statistiques/7739431</x:v>
      </x:c>
      <x:c r="I10" s="13" t="str">
        <x:v>INSEE_RECENSEMENT</x:v>
      </x:c>
    </x:row>
    <x:row r="11">
      <x:c r="A11" s="13" t="n">
        <x:v>2021</x:v>
      </x:c>
      <x:c r="B11" s="13" t="str">
        <x:v>EPCI</x:v>
      </x:c>
      <x:c r="C11" s="13" t="str">
        <x:v>249720061</x:v>
      </x:c>
      <x:c r="D11" s="13" t="str">
        <x:v>CACEM</x:v>
      </x:c>
      <x:c r="E11" s="34" t="n">
        <x:v>150038</x:v>
      </x:c>
      <x:c r="F11" s="13" t="str">
        <x:v>2023-12-28</x:v>
      </x:c>
      <x:c r="G11" s="13" t="str">
        <x:v>2024-01-01</x:v>
      </x:c>
      <x:c r="H11" s="13" t="str">
        <x:v>https://www.insee.fr/fr/statistiques/7739431</x:v>
      </x:c>
      <x:c r="I11" s="13" t="str">
        <x:v>INSEE_RECENSEMENT</x:v>
      </x:c>
    </x:row>
    <x:row r="12">
      <x:c r="A12" s="13" t="n">
        <x:v>2021</x:v>
      </x:c>
      <x:c r="B12" s="13" t="str">
        <x:v>EPCI</x:v>
      </x:c>
      <x:c r="C12" s="13" t="str">
        <x:v>249720053</x:v>
      </x:c>
      <x:c r="D12" s="13" t="str">
        <x:v>CAESM</x:v>
      </x:c>
      <x:c r="E12" s="34" t="n">
        <x:v>115068</x:v>
      </x:c>
      <x:c r="F12" s="13" t="str">
        <x:v>2023-12-28</x:v>
      </x:c>
      <x:c r="G12" s="13" t="str">
        <x:v>2024-01-01</x:v>
      </x:c>
      <x:c r="H12" s="13" t="str">
        <x:v>https://www.insee.fr/fr/statistiques/7739431</x:v>
      </x:c>
      <x:c r="I12" s="13" t="str">
        <x:v>INSEE_RECENSEMENT</x:v>
      </x:c>
    </x:row>
    <x:row r="13">
      <x:c r="A13" s="13" t="n">
        <x:v>2021</x:v>
      </x:c>
      <x:c r="B13" s="13" t="str">
        <x:v>EPCI</x:v>
      </x:c>
      <x:c r="C13" s="13" t="str">
        <x:v>200041788</x:v>
      </x:c>
      <x:c r="D13" s="13" t="str">
        <x:v>CAP_NORD</x:v>
      </x:c>
      <x:c r="E13" s="34" t="n">
        <x:v>95643</x:v>
      </x:c>
      <x:c r="F13" s="13" t="str">
        <x:v>2023-12-28</x:v>
      </x:c>
      <x:c r="G13" s="13" t="str">
        <x:v>2024-01-01</x:v>
      </x:c>
      <x:c r="H13" s="13" t="str">
        <x:v>https://www.insee.fr/fr/statistiques/7739431</x:v>
      </x:c>
      <x:c r="I13" s="13" t="str">
        <x:v>INSEE_RECENSEMENT</x:v>
      </x:c>
    </x:row>
    <x:row r="14">
      <x:c r="A14" s="13" t="n">
        <x:v>2022</x:v>
      </x:c>
      <x:c r="B14" s="13" t="str">
        <x:v>DEP</x:v>
      </x:c>
      <x:c r="C14" s="13" t="str">
        <x:v>972</x:v>
      </x:c>
      <x:c r="D14" s="13" t="str">
        <x:v>Martinique</x:v>
      </x:c>
      <x:c r="E14" s="34" t="n">
        <x:v>361019</x:v>
      </x:c>
      <x:c r="F14" s="13" t="str">
        <x:v>2024-12-19</x:v>
      </x:c>
      <x:c r="G14" s="13" t="str">
        <x:v>2025-01-01</x:v>
      </x:c>
      <x:c r="H14" s="13" t="str">
        <x:v>https://www.insee.fr/fr/statistiques/8312319</x:v>
      </x:c>
      <x:c r="I14" s="13" t="str">
        <x:v>INSEE_RECENSEMENT</x:v>
      </x:c>
    </x:row>
    <x:row r="15">
      <x:c r="A15" s="13" t="n">
        <x:v>2022</x:v>
      </x:c>
      <x:c r="B15" s="13" t="str">
        <x:v>EPCI</x:v>
      </x:c>
      <x:c r="C15" s="13" t="str">
        <x:v>249720061</x:v>
      </x:c>
      <x:c r="D15" s="13" t="str">
        <x:v>CACEM</x:v>
      </x:c>
      <x:c r="E15" s="34" t="n">
        <x:v>150323</x:v>
      </x:c>
      <x:c r="F15" s="13" t="str">
        <x:v>2024-12-19</x:v>
      </x:c>
      <x:c r="G15" s="13" t="str">
        <x:v>2025-01-01</x:v>
      </x:c>
      <x:c r="H15" s="13" t="str">
        <x:v>https://www.insee.fr/fr/statistiques/8312319</x:v>
      </x:c>
      <x:c r="I15" s="13" t="str">
        <x:v>INSEE_RECENSEMENT</x:v>
      </x:c>
    </x:row>
    <x:row r="16">
      <x:c r="A16" s="13" t="n">
        <x:v>2022</x:v>
      </x:c>
      <x:c r="B16" s="13" t="str">
        <x:v>EPCI</x:v>
      </x:c>
      <x:c r="C16" s="13" t="str">
        <x:v>249720053</x:v>
      </x:c>
      <x:c r="D16" s="13" t="str">
        <x:v>CAESM</x:v>
      </x:c>
      <x:c r="E16" s="34" t="n">
        <x:v>115038</x:v>
      </x:c>
      <x:c r="F16" s="13" t="str">
        <x:v>2024-12-19</x:v>
      </x:c>
      <x:c r="G16" s="13" t="str">
        <x:v>2025-01-01</x:v>
      </x:c>
      <x:c r="H16" s="13" t="str">
        <x:v>https://www.insee.fr/fr/statistiques/8312319</x:v>
      </x:c>
      <x:c r="I16" s="13" t="str">
        <x:v>INSEE_RECENSEMENT</x:v>
      </x:c>
    </x:row>
    <x:row r="17">
      <x:c r="A17" s="13" t="n">
        <x:v>2022</x:v>
      </x:c>
      <x:c r="B17" s="13" t="str">
        <x:v>EPCI</x:v>
      </x:c>
      <x:c r="C17" s="13" t="str">
        <x:v>200041788</x:v>
      </x:c>
      <x:c r="D17" s="13" t="str">
        <x:v>CAP_NORD</x:v>
      </x:c>
      <x:c r="E17" s="34" t="n">
        <x:v>95658</x:v>
      </x:c>
      <x:c r="F17" s="13" t="str">
        <x:v>2024-12-19</x:v>
      </x:c>
      <x:c r="G17" s="13" t="str">
        <x:v>2025-01-01</x:v>
      </x:c>
      <x:c r="H17" s="13" t="str">
        <x:v>https://www.insee.fr/fr/statistiques/8312319</x:v>
      </x:c>
      <x:c r="I17" s="13" t="str">
        <x:v>INSEE_RECENSEMENT</x:v>
      </x:c>
    </x:row>
    <x:row r="18">
      <x:c r="A18" s="13" t="n">
        <x:v>2023</x:v>
      </x:c>
      <x:c r="B18" s="13" t="str">
        <x:v>DEP</x:v>
      </x:c>
      <x:c r="C18" s="13" t="str">
        <x:v>972</x:v>
      </x:c>
      <x:c r="D18" s="13" t="str">
        <x:v>Martinique</x:v>
      </x:c>
      <x:c r="E18" s="34" t="n">
        <x:v>360630</x:v>
      </x:c>
      <x:c r="F18" s="13" t="str">
        <x:v>2025-12-18</x:v>
      </x:c>
      <x:c r="G18" s="13" t="str">
        <x:v>2026-01-01</x:v>
      </x:c>
      <x:c r="H18" s="13" t="str">
        <x:v>https://www.insee.fr/fr/statistiques/8684112</x:v>
      </x:c>
      <x:c r="I18" s="13" t="str">
        <x:v>INSEE_RECENSEMENT</x:v>
      </x:c>
    </x:row>
    <x:row r="19">
      <x:c r="A19" s="13" t="n">
        <x:v>2023</x:v>
      </x:c>
      <x:c r="B19" s="13" t="str">
        <x:v>EPCI</x:v>
      </x:c>
      <x:c r="C19" s="13" t="str">
        <x:v>249720061</x:v>
      </x:c>
      <x:c r="D19" s="13" t="str">
        <x:v>CACEM</x:v>
      </x:c>
      <x:c r="E19" s="34" t="n">
        <x:v>150642</x:v>
      </x:c>
      <x:c r="F19" s="13" t="str">
        <x:v>2025-12-18</x:v>
      </x:c>
      <x:c r="G19" s="13" t="str">
        <x:v>2026-01-01</x:v>
      </x:c>
      <x:c r="H19" s="13" t="str">
        <x:v>https://www.insee.fr/fr/statistiques/8684112</x:v>
      </x:c>
      <x:c r="I19" s="13" t="str">
        <x:v>INSEE_RECENSEMENT</x:v>
      </x:c>
    </x:row>
    <x:row r="20">
      <x:c r="A20" s="13" t="n">
        <x:v>2023</x:v>
      </x:c>
      <x:c r="B20" s="13" t="str">
        <x:v>EPCI</x:v>
      </x:c>
      <x:c r="C20" s="13" t="str">
        <x:v>249720053</x:v>
      </x:c>
      <x:c r="D20" s="13" t="str">
        <x:v>CAESM</x:v>
      </x:c>
      <x:c r="E20" s="34" t="n">
        <x:v>114903</x:v>
      </x:c>
      <x:c r="F20" s="13" t="str">
        <x:v>2025-12-18</x:v>
      </x:c>
      <x:c r="G20" s="13" t="str">
        <x:v>2026-01-01</x:v>
      </x:c>
      <x:c r="H20" s="13" t="str">
        <x:v>https://www.insee.fr/fr/statistiques/8684112</x:v>
      </x:c>
      <x:c r="I20" s="13" t="str">
        <x:v>INSEE_RECENSEMENT</x:v>
      </x:c>
    </x:row>
    <x:row r="21">
      <x:c r="A21" s="13" t="n">
        <x:v>2023</x:v>
      </x:c>
      <x:c r="B21" s="13" t="str">
        <x:v>EPCI</x:v>
      </x:c>
      <x:c r="C21" s="13" t="str">
        <x:v>200041788</x:v>
      </x:c>
      <x:c r="D21" s="13" t="str">
        <x:v>CAP_NORD</x:v>
      </x:c>
      <x:c r="E21" s="34" t="n">
        <x:v>95085</x:v>
      </x:c>
      <x:c r="F21" s="13" t="str">
        <x:v>2025-12-18</x:v>
      </x:c>
      <x:c r="G21" s="13" t="str">
        <x:v>2026-01-01</x:v>
      </x:c>
      <x:c r="H21" s="13" t="str">
        <x:v>https://www.insee.fr/fr/statistiques/8684112</x:v>
      </x:c>
      <x:c r="I21" s="13" t="str">
        <x:v>INSEE_RECENSEMENT</x:v>
      </x:c>
    </x:row>
  </x:sheetData>
  <x:pageMargins left="0.7" right="0.7" top="0.75" bottom="0.75" header="0.3" footer="0.3"/>
  <x:tableParts count="1">
    <x:tablePart xmlns:r="http://schemas.openxmlformats.org/officeDocument/2006/relationships" r:id="Rad17d1e525364d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4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38" t="str">
        <x:v>Validation de l'indicateur de consommation moyenne 2022</x:v>
      </x:c>
      <x:c r="B1" s="38"/>
      <x:c r="C1" s="38"/>
      <x:c r="D1" s="38"/>
      <x:c r="E1" s="38"/>
      <x:c r="F1" s="38"/>
    </x:row>
    <x:row r="3">
      <x:c r="A3" s="9" t="str">
        <x:v>Population municipale 2022</x:v>
      </x:c>
      <x:c r="B3" s="20" t="n">
        <x:v>361019</x:v>
      </x:c>
      <x:c r="D3" s="36" t="str">
        <x:v>Interprétation</x:v>
      </x:c>
      <x:c r="E3" s="36" t="str"/>
      <x:c r="F3" s="36" t="str"/>
    </x:row>
    <x:row r="4">
      <x:c r="A4" s="9" t="str">
        <x:v>Volume AEP facturé 2022 (m³)</x:v>
      </x:c>
      <x:c r="B4" s="20" t="n">
        <x:v>21041846</x:v>
      </x:c>
      <x:c r="D4" s="13" t="str">
        <x:v>Résultat calculé</x:v>
      </x:c>
      <x:c r="E4" s="13" t="str">
        <x:v>159,68 L/j/hab</x:v>
      </x:c>
      <x:c r="F4" s="13" t="str"/>
    </x:row>
    <x:row r="5">
      <x:c r="A5" s="9" t="str">
        <x:v>Jours</x:v>
      </x:c>
      <x:c r="B5" s="20" t="n">
        <x:v>365</x:v>
      </x:c>
      <x:c r="D5" s="13" t="str">
        <x:v>Arrondi rapport</x:v>
      </x:c>
      <x:c r="E5" s="13" t="str">
        <x:v>160 L/j/hab</x:v>
      </x:c>
      <x:c r="F5" s="13" t="str"/>
    </x:row>
    <x:row r="6">
      <x:c r="A6" s="9" t="str">
        <x:v>Calcul L/j/hab</x:v>
      </x:c>
      <x:c r="B6" s="40" t="n">
        <x:f>B4*1000/(B3*B5)</x:f>
        <x:v>159.683820382542</x:v>
      </x:c>
      <x:c r="D6" s="13" t="str">
        <x:v>Conclusion</x:v>
      </x:c>
      <x:c r="E6" s="13" t="str">
        <x:v>La population 2022 reconstitue exactement l'ordre de grandeur publié.</x:v>
      </x:c>
      <x:c r="F6" s="13" t="str"/>
    </x:row>
    <x:row r="7">
      <x:c r="A7" s="9" t="str">
        <x:v>Valeur publiée</x:v>
      </x:c>
      <x:c r="B7" s="40" t="n">
        <x:v>160</x:v>
      </x:c>
      <x:c r="D7" s="13" t="str">
        <x:v>Usage futur</x:v>
      </x:c>
      <x:c r="E7" s="13" t="str">
        <x:v>Même formule pour chaque année dès que le volume AEP facturé annuel est disponible.</x:v>
      </x:c>
      <x:c r="F7" s="13" t="str"/>
    </x:row>
    <x:row r="8">
      <x:c r="A8" s="9" t="str">
        <x:v>Écart</x:v>
      </x:c>
      <x:c r="B8" s="40" t="n">
        <x:f>B6-B7</x:f>
        <x:v>-0.3161796174580047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18" hidden="0" customWidth="1"/>
    <x:col min="5" max="5" width="18" hidden="0" customWidth="1"/>
    <x:col min="6" max="6" width="14" hidden="0" customWidth="1"/>
    <x:col min="7" max="7" width="22" hidden="0" customWidth="1"/>
    <x:col min="8" max="8" width="36" hidden="0" customWidth="1"/>
    <x:col min="9" max="9" width="32" hidden="0" customWidth="1"/>
    <x:col min="10" max="10" width="22" hidden="0" customWidth="1"/>
    <x:col min="11" max="11" width="16" hidden="0" customWidth="1"/>
    <x:col min="12" max="12" width="20" hidden="0" customWidth="1"/>
    <x:col min="13" max="13" width="16" hidden="0" customWidth="1"/>
    <x:col min="14" max="14" width="16" hidden="0" customWidth="1"/>
    <x:col min="15" max="15" width="60" hidden="0" customWidth="1"/>
  </x:cols>
  <x:sheetData>
    <x:row r="1">
      <x:c r="A1" s="32" t="str">
        <x:v>Année</x:v>
      </x:c>
      <x:c r="B1" s="32" t="str">
        <x:v>ID</x:v>
      </x:c>
      <x:c r="C1" s="32" t="str">
        <x:v>Domaine</x:v>
      </x:c>
      <x:c r="D1" s="32" t="str">
        <x:v>Territoire</x:v>
      </x:c>
      <x:c r="E1" s="32" t="str">
        <x:v>Valeur</x:v>
      </x:c>
      <x:c r="F1" s="32" t="str">
        <x:v>Unité</x:v>
      </x:c>
      <x:c r="G1" s="32" t="str">
        <x:v>Source primaire</x:v>
      </x:c>
      <x:c r="H1" s="32" t="str">
        <x:v>Détail</x:v>
      </x:c>
      <x:c r="I1" s="32" t="str">
        <x:v>Fichier source</x:v>
      </x:c>
      <x:c r="J1" s="32" t="str">
        <x:v>Snapshot</x:v>
      </x:c>
      <x:c r="K1" s="32" t="str">
        <x:v>Couverture</x:v>
      </x:c>
      <x:c r="L1" s="32" t="str">
        <x:v>Qualité</x:v>
      </x:c>
      <x:c r="M1" s="32" t="str">
        <x:v>Rôle</x:v>
      </x:c>
      <x:c r="N1" s="32" t="str">
        <x:v>Millésime pop.</x:v>
      </x:c>
      <x:c r="O1" s="32" t="str">
        <x:v>Note</x:v>
      </x:c>
    </x:row>
    <x:row r="2">
      <x:c r="A2" s="13" t="n">
        <x:v>2022</x:v>
      </x:c>
      <x:c r="B2" s="13" t="str">
        <x:v>ANC_001</x:v>
      </x:c>
      <x:c r="C2" s="13" t="str">
        <x:v>ANC</x:v>
      </x:c>
      <x:c r="D2" s="13" t="str">
        <x:v>Martinique</x:v>
      </x:c>
      <x:c r="E2" s="13" t="n">
        <x:v>54.20019444959961</x:v>
      </x:c>
      <x:c r="F2" s="13" t="str">
        <x:v>%</x:v>
      </x:c>
      <x:c r="G2" s="13" t="str">
        <x:v>CALCUL</x:v>
      </x:c>
      <x:c r="H2" s="13" t="str">
        <x:v>ANC_002 / POP_001 ×100</x:v>
      </x:c>
      <x:c r="I2" s="13" t="str"/>
      <x:c r="J2" s="13" t="str"/>
      <x:c r="K2" s="13" t="str">
        <x:v>COMPLETE</x:v>
      </x:c>
      <x:c r="L2" s="13" t="str">
        <x:v>REVISED_SNAPSHOT</x:v>
      </x:c>
      <x:c r="M2" s="13" t="str">
        <x:v>DIAGNOSTIC</x:v>
      </x:c>
      <x:c r="N2" s="13" t="n">
        <x:v>2022</x:v>
      </x:c>
      <x:c r="O2" s="13" t="str">
        <x:v>Part de population relevant de l’ANC d’après le snapshot SISPEA courant.</x:v>
      </x:c>
    </x:row>
    <x:row r="3">
      <x:c r="A3" s="13" t="n">
        <x:v>2022</x:v>
      </x:c>
      <x:c r="B3" s="13" t="str">
        <x:v>ANC_002</x:v>
      </x:c>
      <x:c r="C3" s="13" t="str">
        <x:v>ANC</x:v>
      </x:c>
      <x:c r="D3" s="13" t="str">
        <x:v>Martinique</x:v>
      </x:c>
      <x:c r="E3" s="13" t="n">
        <x:v>195673</x:v>
      </x:c>
      <x:c r="F3" s="13" t="str">
        <x:v>hab</x:v>
      </x:c>
      <x:c r="G3" s="13" t="str">
        <x:v>SISPEA</x:v>
      </x:c>
      <x:c r="H3" s="13" t="str">
        <x:v>D301.0</x:v>
      </x:c>
      <x:c r="I3" s="13" t="str">
        <x:v>SISPEA_extraction_2022_ANC.xls</x:v>
      </x:c>
      <x:c r="J3" s="13" t="str">
        <x:v>2026-09-24T17:35:15</x:v>
      </x:c>
      <x:c r="K3" s="13" t="str">
        <x:v>COMPLETE</x:v>
      </x:c>
      <x:c r="L3" s="13" t="str">
        <x:v>REVISED_SNAPSHOT</x:v>
      </x:c>
      <x:c r="M3" s="13" t="str">
        <x:v>DIAGNOSTIC</x:v>
      </x:c>
      <x:c r="N3" s="13"/>
      <x:c r="O3" s="13" t="str">
        <x:v>Population ANC du snapshot courant ; à confronter aux SPANC/ODE.</x:v>
      </x:c>
    </x:row>
    <x:row r="4">
      <x:c r="A4" s="13" t="n">
        <x:v>2022</x:v>
      </x:c>
      <x:c r="B4" s="13" t="str">
        <x:v>ANC_003</x:v>
      </x:c>
      <x:c r="C4" s="13" t="str">
        <x:v>ANC</x:v>
      </x:c>
      <x:c r="D4" s="13" t="str">
        <x:v>Martinique</x:v>
      </x:c>
      <x:c r="E4" s="13" t="n">
        <x:v>56255</x:v>
      </x:c>
      <x:c r="F4" s="13" t="str">
        <x:v>installations</x:v>
      </x:c>
      <x:c r="G4" s="13" t="str">
        <x:v>SISPEA</x:v>
      </x:c>
      <x:c r="H4" s="13" t="str">
        <x:v>DC.306</x:v>
      </x:c>
      <x:c r="I4" s="13" t="str">
        <x:v>fact_sispea_service_2022.csv</x:v>
      </x:c>
      <x:c r="J4" s="13" t="str"/>
      <x:c r="K4" s="13" t="str">
        <x:v>PARTIAL</x:v>
      </x:c>
      <x:c r="L4" s="13" t="str">
        <x:v>REVISED_SNAPSHOT</x:v>
      </x:c>
      <x:c r="M4" s="13" t="str">
        <x:v>DIAGNOSTIC</x:v>
      </x:c>
      <x:c r="N4" s="13"/>
      <x:c r="O4" s="13" t="str">
        <x:v>Somme des services renseignés ; contrôle SPANC requis.</x:v>
      </x:c>
    </x:row>
    <x:row r="5">
      <x:c r="A5" s="13" t="n">
        <x:v>2022</x:v>
      </x:c>
      <x:c r="B5" s="13" t="str">
        <x:v>ANC_010</x:v>
      </x:c>
      <x:c r="C5" s="13" t="str">
        <x:v>ANC</x:v>
      </x:c>
      <x:c r="D5" s="13" t="str">
        <x:v>Martinique</x:v>
      </x:c>
      <x:c r="E5" s="13" t="n">
        <x:v>1009</x:v>
      </x:c>
      <x:c r="F5" s="13" t="str">
        <x:v>contrôles/an</x:v>
      </x:c>
      <x:c r="G5" s="13" t="str">
        <x:v>SISPEA</x:v>
      </x:c>
      <x:c r="H5" s="13" t="str">
        <x:v>DC.332 + DC.333</x:v>
      </x:c>
      <x:c r="I5" s="13" t="str">
        <x:v>fact_sispea_service_2022.csv</x:v>
      </x:c>
      <x:c r="J5" s="13" t="str"/>
      <x:c r="K5" s="13" t="str">
        <x:v>COMPLETE</x:v>
      </x:c>
      <x:c r="L5" s="13" t="str">
        <x:v>OK</x:v>
      </x:c>
      <x:c r="M5" s="13" t="str">
        <x:v>PRODUCTION</x:v>
      </x:c>
      <x:c r="N5" s="13"/>
      <x:c r="O5" s="13" t="str">
        <x:v>Contrôles du neuf = conception + exécution, règle à conserver versionnée.</x:v>
      </x:c>
    </x:row>
    <x:row r="6">
      <x:c r="A6" s="13" t="n">
        <x:v>2022</x:v>
      </x:c>
      <x:c r="B6" s="13" t="str">
        <x:v>ANC_011</x:v>
      </x:c>
      <x:c r="C6" s="13" t="str">
        <x:v>ANC</x:v>
      </x:c>
      <x:c r="D6" s="13" t="str">
        <x:v>Martinique</x:v>
      </x:c>
      <x:c r="E6" s="13" t="n">
        <x:v>388</x:v>
      </x:c>
      <x:c r="F6" s="13" t="str">
        <x:v>contrôles/an</x:v>
      </x:c>
      <x:c r="G6" s="13" t="str">
        <x:v>SISPEA</x:v>
      </x:c>
      <x:c r="H6" s="13" t="str">
        <x:v>VP.334</x:v>
      </x:c>
      <x:c r="I6" s="13" t="str">
        <x:v>fact_sispea_service_2022.csv</x:v>
      </x:c>
      <x:c r="J6" s="13" t="str"/>
      <x:c r="K6" s="13" t="str">
        <x:v>PARTIAL</x:v>
      </x:c>
      <x:c r="L6" s="13" t="str">
        <x:v>COVERAGE_PARTIAL</x:v>
      </x:c>
      <x:c r="M6" s="13" t="str">
        <x:v>DIAGNOSTIC</x:v>
      </x:c>
      <x:c r="N6" s="13"/>
      <x:c r="O6" s="13" t="str">
        <x:v>2/3 services renseignés.</x:v>
      </x:c>
    </x:row>
    <x:row r="7">
      <x:c r="A7" s="13" t="n">
        <x:v>2022</x:v>
      </x:c>
      <x:c r="B7" s="13" t="str">
        <x:v>ANC_013</x:v>
      </x:c>
      <x:c r="C7" s="13" t="str">
        <x:v>ANC</x:v>
      </x:c>
      <x:c r="D7" s="13" t="str">
        <x:v>Martinique</x:v>
      </x:c>
      <x:c r="E7" s="13" t="n">
        <x:v>11.1</x:v>
      </x:c>
      <x:c r="F7" s="13" t="str">
        <x:v>%</x:v>
      </x:c>
      <x:c r="G7" s="13" t="str">
        <x:v>SISPEA</x:v>
      </x:c>
      <x:c r="H7" s="13" t="str">
        <x:v>P301.3</x:v>
      </x:c>
      <x:c r="I7" s="13" t="str">
        <x:v>SISPEA_extraction_2022_ANC.xls</x:v>
      </x:c>
      <x:c r="J7" s="13" t="str">
        <x:v>2026-09-24T17:35:15</x:v>
      </x:c>
      <x:c r="K7" s="13" t="str">
        <x:v>PARTIAL</x:v>
      </x:c>
      <x:c r="L7" s="13" t="str">
        <x:v>COVERAGE_PARTIAL</x:v>
      </x:c>
      <x:c r="M7" s="13" t="str">
        <x:v>DIAGNOSTIC</x:v>
      </x:c>
      <x:c r="N7" s="13"/>
      <x:c r="O7" s="13" t="str">
        <x:v>2/3 services utilisés.</x:v>
      </x:c>
    </x:row>
    <x:row r="8">
      <x:c r="A8" s="13" t="n">
        <x:v>2022</x:v>
      </x:c>
      <x:c r="B8" s="13" t="str">
        <x:v>AC_001</x:v>
      </x:c>
      <x:c r="C8" s="13" t="str">
        <x:v>ASSAINISSEMENT_COLLECTIF</x:v>
      </x:c>
      <x:c r="D8" s="13" t="str">
        <x:v>Martinique</x:v>
      </x:c>
      <x:c r="E8" s="13" t="n">
        <x:v>902.04</x:v>
      </x:c>
      <x:c r="F8" s="13" t="str">
        <x:v>km</x:v>
      </x:c>
      <x:c r="G8" s="13" t="str">
        <x:v>SISPEA</x:v>
      </x:c>
      <x:c r="H8" s="13" t="str">
        <x:v>VP.077</x:v>
      </x:c>
      <x:c r="I8" s="13" t="str">
        <x:v>SISPEA_extraction_2022_AC.xls</x:v>
      </x:c>
      <x:c r="J8" s="13" t="str">
        <x:v>2026-09-24T17:34:59</x:v>
      </x:c>
      <x:c r="K8" s="13" t="str">
        <x:v>COMPLETE</x:v>
      </x:c>
      <x:c r="L8" s="13" t="str">
        <x:v>OK</x:v>
      </x:c>
      <x:c r="M8" s="13" t="str">
        <x:v>PRODUCTION</x:v>
      </x:c>
      <x:c r="N8" s="13"/>
      <x:c r="O8" s="13" t="str">
        <x:v>VP.077; 4 donnée(s) utilisée(s).</x:v>
      </x:c>
    </x:row>
    <x:row r="9">
      <x:c r="A9" s="13" t="n">
        <x:v>2022</x:v>
      </x:c>
      <x:c r="B9" s="13" t="str">
        <x:v>AC_003</x:v>
      </x:c>
      <x:c r="C9" s="13" t="str">
        <x:v>ASSAINISSEMENT_COLLECTIF</x:v>
      </x:c>
      <x:c r="D9" s="13" t="str">
        <x:v>Martinique</x:v>
      </x:c>
      <x:c r="E9" s="13" t="n">
        <x:v>103</x:v>
      </x:c>
      <x:c r="F9" s="13" t="str">
        <x:v>nb</x:v>
      </x:c>
      <x:c r="G9" s="13" t="str">
        <x:v>PORTAIL_ERU</x:v>
      </x:c>
      <x:c r="H9" s="13" t="str">
        <x:v>Nature=Urbain et capacité&gt;0</x:v>
      </x:c>
      <x:c r="I9" s="13" t="str">
        <x:v>export-as-telechargement(2).csv</x:v>
      </x:c>
      <x:c r="J9" s="13" t="str">
        <x:v>2024-12-19</x:v>
      </x:c>
      <x:c r="K9" s="13" t="str">
        <x:v>COMPLETE</x:v>
      </x:c>
      <x:c r="L9" s="13" t="str">
        <x:v>OK</x:v>
      </x:c>
      <x:c r="M9" s="13" t="str">
        <x:v>PRODUCTION</x:v>
      </x:c>
      <x:c r="N9" s="13"/>
      <x:c r="O9" s="13" t="str">
        <x:v>Inventaire public du snapshot courant.</x:v>
      </x:c>
    </x:row>
    <x:row r="10">
      <x:c r="A10" s="13" t="n">
        <x:v>2022</x:v>
      </x:c>
      <x:c r="B10" s="13" t="str">
        <x:v>AC_004</x:v>
      </x:c>
      <x:c r="C10" s="13" t="str">
        <x:v>ASSAINISSEMENT_COLLECTIF</x:v>
      </x:c>
      <x:c r="D10" s="13" t="str">
        <x:v>Martinique</x:v>
      </x:c>
      <x:c r="E10" s="13" t="n">
        <x:v>69</x:v>
      </x:c>
      <x:c r="F10" s="13" t="str">
        <x:v>nb</x:v>
      </x:c>
      <x:c r="G10" s="13" t="str">
        <x:v>PORTAIL_ERU</x:v>
      </x:c>
      <x:c r="H10" s="13" t="str">
        <x:v>Nature=Urbain et capacité&gt;200 EH</x:v>
      </x:c>
      <x:c r="I10" s="13" t="str">
        <x:v>export-as-telechargement(2).csv</x:v>
      </x:c>
      <x:c r="J10" s="13" t="str">
        <x:v>2024-12-19</x:v>
      </x:c>
      <x:c r="K10" s="13" t="str">
        <x:v>COMPLETE</x:v>
      </x:c>
      <x:c r="L10" s="13" t="str">
        <x:v>REVISED_SNAPSHOT</x:v>
      </x:c>
      <x:c r="M10" s="13" t="str">
        <x:v>PRODUCTION</x:v>
      </x:c>
      <x:c r="N10" s="13"/>
      <x:c r="O10" s="13" t="str">
        <x:v>Le snapshot courant diffère du rapport 2022 historique.</x:v>
      </x:c>
    </x:row>
    <x:row r="11">
      <x:c r="A11" s="13" t="n">
        <x:v>2022</x:v>
      </x:c>
      <x:c r="B11" s="13" t="str">
        <x:v>AC_005</x:v>
      </x:c>
      <x:c r="C11" s="13" t="str">
        <x:v>ASSAINISSEMENT_COLLECTIF</x:v>
      </x:c>
      <x:c r="D11" s="13" t="str">
        <x:v>Martinique</x:v>
      </x:c>
      <x:c r="E11" s="13" t="n">
        <x:v>345361</x:v>
      </x:c>
      <x:c r="F11" s="13" t="str">
        <x:v>EH</x:v>
      </x:c>
      <x:c r="G11" s="13" t="str">
        <x:v>PORTAIL_ERU</x:v>
      </x:c>
      <x:c r="H11" s="13" t="str">
        <x:v>Somme capacité nominale &gt;200 EH</x:v>
      </x:c>
      <x:c r="I11" s="13" t="str">
        <x:v>export-as-telechargement(2).csv</x:v>
      </x:c>
      <x:c r="J11" s="13" t="str">
        <x:v>2024-12-19</x:v>
      </x:c>
      <x:c r="K11" s="13" t="str">
        <x:v>COMPLETE</x:v>
      </x:c>
      <x:c r="L11" s="13" t="str">
        <x:v>REVISED_SNAPSHOT</x:v>
      </x:c>
      <x:c r="M11" s="13" t="str">
        <x:v>PRODUCTION</x:v>
      </x:c>
      <x:c r="N11" s="13"/>
      <x:c r="O11" s="13" t="str">
        <x:v>Le snapshot courant diffère du rapport 2022 historique.</x:v>
      </x:c>
    </x:row>
    <x:row r="12">
      <x:c r="A12" s="13" t="n">
        <x:v>2022</x:v>
      </x:c>
      <x:c r="B12" s="13" t="str">
        <x:v>AC_012</x:v>
      </x:c>
      <x:c r="C12" s="13" t="str">
        <x:v>ASSAINISSEMENT_COLLECTIF</x:v>
      </x:c>
      <x:c r="D12" s="13" t="str">
        <x:v>Martinique</x:v>
      </x:c>
      <x:c r="E12" s="13" t="n">
        <x:v>1620.96</x:v>
      </x:c>
      <x:c r="F12" s="13" t="str">
        <x:v>tMS</x:v>
      </x:c>
      <x:c r="G12" s="13" t="str">
        <x:v>SISPEA</x:v>
      </x:c>
      <x:c r="H12" s="13" t="str">
        <x:v>VP.208</x:v>
      </x:c>
      <x:c r="I12" s="13" t="str">
        <x:v>SISPEA_extraction_2022_AC.xls</x:v>
      </x:c>
      <x:c r="J12" s="13" t="str">
        <x:v>2026-09-24T17:34:59</x:v>
      </x:c>
      <x:c r="K12" s="13" t="str">
        <x:v>COMPLETE</x:v>
      </x:c>
      <x:c r="L12" s="13" t="str">
        <x:v>OK</x:v>
      </x:c>
      <x:c r="M12" s="13" t="str">
        <x:v>PRODUCTION</x:v>
      </x:c>
      <x:c r="N12" s="13"/>
      <x:c r="O12" s="13" t="str">
        <x:v>VP.208; 4 donnée(s) utilisée(s).</x:v>
      </x:c>
    </x:row>
    <x:row r="13">
      <x:c r="A13" s="13" t="n">
        <x:v>2022</x:v>
      </x:c>
      <x:c r="B13" s="13" t="str">
        <x:v>AC_014</x:v>
      </x:c>
      <x:c r="C13" s="13" t="str">
        <x:v>ASSAINISSEMENT_COLLECTIF</x:v>
      </x:c>
      <x:c r="D13" s="13" t="str">
        <x:v>Martinique</x:v>
      </x:c>
      <x:c r="E13" s="13" t="n">
        <x:v>81139</x:v>
      </x:c>
      <x:c r="F13" s="13" t="str">
        <x:v>abonnés</x:v>
      </x:c>
      <x:c r="G13" s="13" t="str">
        <x:v>SISPEA</x:v>
      </x:c>
      <x:c r="H13" s="13" t="str">
        <x:v>VP.056</x:v>
      </x:c>
      <x:c r="I13" s="13" t="str">
        <x:v>SISPEA_extraction_2022_AC.xls</x:v>
      </x:c>
      <x:c r="J13" s="13" t="str">
        <x:v>2026-09-24T17:34:59</x:v>
      </x:c>
      <x:c r="K13" s="13" t="str">
        <x:v>COMPLETE</x:v>
      </x:c>
      <x:c r="L13" s="13" t="str">
        <x:v>REVISED_SNAPSHOT</x:v>
      </x:c>
      <x:c r="M13" s="13" t="str">
        <x:v>PRODUCTION</x:v>
      </x:c>
      <x:c r="N13" s="13"/>
      <x:c r="O13" s="13" t="str">
        <x:v>Snapshot SISPEA actuel ; historique susceptible d’avoir été révisé.</x:v>
      </x:c>
    </x:row>
    <x:row r="14">
      <x:c r="A14" s="13" t="n">
        <x:v>2022</x:v>
      </x:c>
      <x:c r="B14" s="13" t="str">
        <x:v>AC_016</x:v>
      </x:c>
      <x:c r="C14" s="13" t="str">
        <x:v>ASSAINISSEMENT_COLLECTIF</x:v>
      </x:c>
      <x:c r="D14" s="13" t="str">
        <x:v>Martinique</x:v>
      </x:c>
      <x:c r="E14" s="13" t="n">
        <x:v>42.68990771626698</x:v>
      </x:c>
      <x:c r="F14" s="13" t="str">
        <x:v>%</x:v>
      </x:c>
      <x:c r="G14" s="13" t="str">
        <x:v>CALCUL</x:v>
      </x:c>
      <x:c r="H14" s="13" t="str">
        <x:v>AC_014 / EP_005 ×100</x:v>
      </x:c>
      <x:c r="I14" s="13" t="str"/>
      <x:c r="J14" s="13" t="str"/>
      <x:c r="K14" s="13" t="str">
        <x:v>COMPLETE</x:v>
      </x:c>
      <x:c r="L14" s="13" t="str">
        <x:v>REVISED_SNAPSHOT</x:v>
      </x:c>
      <x:c r="M14" s="13" t="str">
        <x:v>DIAGNOSTIC</x:v>
      </x:c>
      <x:c r="N14" s="13"/>
      <x:c r="O14" s="13" t="str">
        <x:v>Part d'abonnés AC parmi les abonnés AEP ; ne pas l'intituler part de population raccordée.</x:v>
      </x:c>
    </x:row>
    <x:row r="15">
      <x:c r="A15" s="13" t="n">
        <x:v>2022</x:v>
      </x:c>
      <x:c r="B15" s="13" t="str">
        <x:v>EP_001</x:v>
      </x:c>
      <x:c r="C15" s="13" t="str">
        <x:v>EAU_POTABLE</x:v>
      </x:c>
      <x:c r="D15" s="13" t="str">
        <x:v>Martinique</x:v>
      </x:c>
      <x:c r="E15" s="13" t="n">
        <x:v>159.683820382542</x:v>
      </x:c>
      <x:c r="F15" s="13" t="str">
        <x:v>L/j/hab</x:v>
      </x:c>
      <x:c r="G15" s="13" t="str">
        <x:v>RAD_RPQS + INSEE</x:v>
      </x:c>
      <x:c r="H15" s="13" t="str">
        <x:v>Volume facturé AEP / population municipale / 365</x:v>
      </x:c>
      <x:c r="I15" s="13" t="str">
        <x:v>manual_inputs/manual_external_facts_2022.csv</x:v>
      </x:c>
      <x:c r="J15" s="13" t="str"/>
      <x:c r="K15" s="13" t="str">
        <x:v>COMPLETE</x:v>
      </x:c>
      <x:c r="L15" s="13" t="str">
        <x:v>VALIDATION_OK</x:v>
      </x:c>
      <x:c r="M15" s="13" t="str">
        <x:v>VALIDATION</x:v>
      </x:c>
      <x:c r="N15" s="13" t="n">
        <x:v>2022</x:v>
      </x:c>
      <x:c r="O15" s="13" t="str">
        <x:v>Validation de la formule ; automatisation RAD/RPQS encore à développer.</x:v>
      </x:c>
    </x:row>
    <x:row r="16">
      <x:c r="A16" s="13" t="n">
        <x:v>2022</x:v>
      </x:c>
      <x:c r="B16" s="13" t="str">
        <x:v>EP_005</x:v>
      </x:c>
      <x:c r="C16" s="13" t="str">
        <x:v>EAU_POTABLE</x:v>
      </x:c>
      <x:c r="D16" s="13" t="str">
        <x:v>Martinique</x:v>
      </x:c>
      <x:c r="E16" s="13" t="n">
        <x:v>190066</x:v>
      </x:c>
      <x:c r="F16" s="13" t="str">
        <x:v>abonnés</x:v>
      </x:c>
      <x:c r="G16" s="13" t="str">
        <x:v>SISPEA</x:v>
      </x:c>
      <x:c r="H16" s="13" t="str">
        <x:v>VP.056</x:v>
      </x:c>
      <x:c r="I16" s="13" t="str">
        <x:v>SISPEA_extraction_2022_AEP.ods</x:v>
      </x:c>
      <x:c r="J16" s="13" t="str">
        <x:v>2026-09-24T17:33:42.676</x:v>
      </x:c>
      <x:c r="K16" s="13" t="str">
        <x:v>COMPLETE</x:v>
      </x:c>
      <x:c r="L16" s="13" t="str">
        <x:v>OK</x:v>
      </x:c>
      <x:c r="M16" s="13" t="str">
        <x:v>PRODUCTION</x:v>
      </x:c>
      <x:c r="N16" s="13"/>
      <x:c r="O16" s="13" t="str">
        <x:v>VP.056; 4 donnée(s) utilisée(s).</x:v>
      </x:c>
    </x:row>
    <x:row r="17">
      <x:c r="A17" s="13" t="n">
        <x:v>2022</x:v>
      </x:c>
      <x:c r="B17" s="13" t="str">
        <x:v>EP_017</x:v>
      </x:c>
      <x:c r="C17" s="13" t="str">
        <x:v>EAU_POTABLE</x:v>
      </x:c>
      <x:c r="D17" s="13" t="str">
        <x:v>Martinique</x:v>
      </x:c>
      <x:c r="E17" s="13" t="n">
        <x:v>3868</x:v>
      </x:c>
      <x:c r="F17" s="13" t="str">
        <x:v>km</x:v>
      </x:c>
      <x:c r="G17" s="13" t="str">
        <x:v>SISPEA</x:v>
      </x:c>
      <x:c r="H17" s="13" t="str">
        <x:v>VP.077</x:v>
      </x:c>
      <x:c r="I17" s="13" t="str">
        <x:v>SISPEA_extraction_2022_AEP.ods</x:v>
      </x:c>
      <x:c r="J17" s="13" t="str">
        <x:v>2026-09-24T17:33:42.676</x:v>
      </x:c>
      <x:c r="K17" s="13" t="str">
        <x:v>COMPLETE</x:v>
      </x:c>
      <x:c r="L17" s="13" t="str">
        <x:v>OK</x:v>
      </x:c>
      <x:c r="M17" s="13" t="str">
        <x:v>PRODUCTION</x:v>
      </x:c>
      <x:c r="N17" s="13"/>
      <x:c r="O17" s="13" t="str">
        <x:v>VP.077; 4 donnée(s) utilisée(s).</x:v>
      </x:c>
    </x:row>
    <x:row r="18">
      <x:c r="A18" s="13" t="n">
        <x:v>2022</x:v>
      </x:c>
      <x:c r="B18" s="13" t="str">
        <x:v>EP_019</x:v>
      </x:c>
      <x:c r="C18" s="13" t="str">
        <x:v>EAU_POTABLE</x:v>
      </x:c>
      <x:c r="D18" s="13" t="str">
        <x:v>CACEM</x:v>
      </x:c>
      <x:c r="E18" s="13" t="n">
        <x:v>64.5</x:v>
      </x:c>
      <x:c r="F18" s="13" t="str">
        <x:v>%</x:v>
      </x:c>
      <x:c r="G18" s="13" t="str">
        <x:v>SISPEA</x:v>
      </x:c>
      <x:c r="H18" s="13" t="str">
        <x:v>P104.3</x:v>
      </x:c>
      <x:c r="I18" s="13" t="str">
        <x:v>SISPEA_extraction_2022_AEP.ods</x:v>
      </x:c>
      <x:c r="J18" s="13" t="str">
        <x:v>2026-09-24T17:33:42.676</x:v>
      </x:c>
      <x:c r="K18" s="13" t="str">
        <x:v>COMPLETE</x:v>
      </x:c>
      <x:c r="L18" s="13" t="str">
        <x:v>OK</x:v>
      </x:c>
      <x:c r="M18" s="13" t="str">
        <x:v>PRODUCTION</x:v>
      </x:c>
      <x:c r="N18" s="13"/>
      <x:c r="O18" s="13" t="str">
        <x:v>Service SISPEA comparable au périmètre du rapport : 196862.</x:v>
      </x:c>
    </x:row>
    <x:row r="19">
      <x:c r="A19" s="13" t="n">
        <x:v>2022</x:v>
      </x:c>
      <x:c r="B19" s="13" t="str">
        <x:v>EP_019</x:v>
      </x:c>
      <x:c r="C19" s="13" t="str">
        <x:v>EAU_POTABLE</x:v>
      </x:c>
      <x:c r="D19" s="13" t="str">
        <x:v>CAESM</x:v>
      </x:c>
      <x:c r="E19" s="13" t="n">
        <x:v>81.8</x:v>
      </x:c>
      <x:c r="F19" s="13" t="str">
        <x:v>%</x:v>
      </x:c>
      <x:c r="G19" s="13" t="str">
        <x:v>SISPEA</x:v>
      </x:c>
      <x:c r="H19" s="13" t="str">
        <x:v>P104.3</x:v>
      </x:c>
      <x:c r="I19" s="13" t="str">
        <x:v>SISPEA_extraction_2022_AEP.ods</x:v>
      </x:c>
      <x:c r="J19" s="13" t="str">
        <x:v>2026-09-24T17:33:42.676</x:v>
      </x:c>
      <x:c r="K19" s="13" t="str">
        <x:v>COMPLETE</x:v>
      </x:c>
      <x:c r="L19" s="13" t="str">
        <x:v>OK</x:v>
      </x:c>
      <x:c r="M19" s="13" t="str">
        <x:v>PRODUCTION</x:v>
      </x:c>
      <x:c r="N19" s="13"/>
      <x:c r="O19" s="13" t="str">
        <x:v>Service SISPEA comparable au périmètre du rapport : 196847.</x:v>
      </x:c>
    </x:row>
    <x:row r="20">
      <x:c r="A20" s="13" t="n">
        <x:v>2022</x:v>
      </x:c>
      <x:c r="B20" s="13" t="str">
        <x:v>EP_019</x:v>
      </x:c>
      <x:c r="C20" s="13" t="str">
        <x:v>EAU_POTABLE</x:v>
      </x:c>
      <x:c r="D20" s="13" t="str">
        <x:v>CAP_NORD</x:v>
      </x:c>
      <x:c r="E20" s="13" t="n">
        <x:v>52.4</x:v>
      </x:c>
      <x:c r="F20" s="13" t="str">
        <x:v>%</x:v>
      </x:c>
      <x:c r="G20" s="13" t="str">
        <x:v>SISPEA</x:v>
      </x:c>
      <x:c r="H20" s="13" t="str">
        <x:v>P104.3</x:v>
      </x:c>
      <x:c r="I20" s="13" t="str">
        <x:v>SISPEA_extraction_2022_AEP.ods</x:v>
      </x:c>
      <x:c r="J20" s="13" t="str">
        <x:v>2026-09-24T17:33:42.676</x:v>
      </x:c>
      <x:c r="K20" s="13" t="str">
        <x:v>COMPLETE</x:v>
      </x:c>
      <x:c r="L20" s="13" t="str">
        <x:v>OK</x:v>
      </x:c>
      <x:c r="M20" s="13" t="str">
        <x:v>PRODUCTION</x:v>
      </x:c>
      <x:c r="N20" s="13"/>
      <x:c r="O20" s="13" t="str">
        <x:v>Service SISPEA comparable au périmètre du rapport : 299714.</x:v>
      </x:c>
    </x:row>
    <x:row r="21">
      <x:c r="A21" s="13" t="n">
        <x:v>2022</x:v>
      </x:c>
      <x:c r="B21" s="13" t="str">
        <x:v>EP_020</x:v>
      </x:c>
      <x:c r="C21" s="13" t="str">
        <x:v>EAU_POTABLE</x:v>
      </x:c>
      <x:c r="D21" s="13" t="str">
        <x:v>CACEM</x:v>
      </x:c>
      <x:c r="E21" s="13" t="n">
        <x:v>31.9</x:v>
      </x:c>
      <x:c r="F21" s="13" t="str">
        <x:v>m3/km/j</x:v>
      </x:c>
      <x:c r="G21" s="13" t="str">
        <x:v>SISPEA</x:v>
      </x:c>
      <x:c r="H21" s="13" t="str">
        <x:v>P106.3</x:v>
      </x:c>
      <x:c r="I21" s="13" t="str">
        <x:v>SISPEA_extraction_2022_AEP.ods</x:v>
      </x:c>
      <x:c r="J21" s="13" t="str">
        <x:v>2026-09-24T17:33:42.676</x:v>
      </x:c>
      <x:c r="K21" s="13" t="str">
        <x:v>COMPLETE</x:v>
      </x:c>
      <x:c r="L21" s="13" t="str">
        <x:v>OK</x:v>
      </x:c>
      <x:c r="M21" s="13" t="str">
        <x:v>PRODUCTION</x:v>
      </x:c>
      <x:c r="N21" s="13"/>
      <x:c r="O21" s="13" t="str">
        <x:v>Service SISPEA comparable au périmètre du rapport : 196862.</x:v>
      </x:c>
    </x:row>
    <x:row r="22">
      <x:c r="A22" s="13" t="n">
        <x:v>2022</x:v>
      </x:c>
      <x:c r="B22" s="13" t="str">
        <x:v>EP_020</x:v>
      </x:c>
      <x:c r="C22" s="13" t="str">
        <x:v>EAU_POTABLE</x:v>
      </x:c>
      <x:c r="D22" s="13" t="str">
        <x:v>CAESM</x:v>
      </x:c>
      <x:c r="E22" s="13" t="n">
        <x:v>6.1</x:v>
      </x:c>
      <x:c r="F22" s="13" t="str">
        <x:v>m3/km/j</x:v>
      </x:c>
      <x:c r="G22" s="13" t="str">
        <x:v>SISPEA</x:v>
      </x:c>
      <x:c r="H22" s="13" t="str">
        <x:v>P106.3</x:v>
      </x:c>
      <x:c r="I22" s="13" t="str">
        <x:v>SISPEA_extraction_2022_AEP.ods</x:v>
      </x:c>
      <x:c r="J22" s="13" t="str">
        <x:v>2026-09-24T17:33:42.676</x:v>
      </x:c>
      <x:c r="K22" s="13" t="str">
        <x:v>COMPLETE</x:v>
      </x:c>
      <x:c r="L22" s="13" t="str">
        <x:v>OK</x:v>
      </x:c>
      <x:c r="M22" s="13" t="str">
        <x:v>PRODUCTION</x:v>
      </x:c>
      <x:c r="N22" s="13"/>
      <x:c r="O22" s="13" t="str">
        <x:v>Service SISPEA comparable au périmètre du rapport : 196847.</x:v>
      </x:c>
    </x:row>
    <x:row r="23">
      <x:c r="A23" s="13" t="n">
        <x:v>2022</x:v>
      </x:c>
      <x:c r="B23" s="13" t="str">
        <x:v>EP_020</x:v>
      </x:c>
      <x:c r="C23" s="13" t="str">
        <x:v>EAU_POTABLE</x:v>
      </x:c>
      <x:c r="D23" s="13" t="str">
        <x:v>CAP_NORD</x:v>
      </x:c>
      <x:c r="E23" s="13" t="n">
        <x:v>10.2</x:v>
      </x:c>
      <x:c r="F23" s="13" t="str">
        <x:v>m3/km/j</x:v>
      </x:c>
      <x:c r="G23" s="13" t="str">
        <x:v>SISPEA</x:v>
      </x:c>
      <x:c r="H23" s="13" t="str">
        <x:v>P106.3</x:v>
      </x:c>
      <x:c r="I23" s="13" t="str">
        <x:v>SISPEA_extraction_2022_AEP.ods</x:v>
      </x:c>
      <x:c r="J23" s="13" t="str">
        <x:v>2026-09-24T17:33:42.676</x:v>
      </x:c>
      <x:c r="K23" s="13" t="str">
        <x:v>COMPLETE</x:v>
      </x:c>
      <x:c r="L23" s="13" t="str">
        <x:v>OK</x:v>
      </x:c>
      <x:c r="M23" s="13" t="str">
        <x:v>PRODUCTION</x:v>
      </x:c>
      <x:c r="N23" s="13"/>
      <x:c r="O23" s="13" t="str">
        <x:v>Service SISPEA comparable au périmètre du rapport : 299714.</x:v>
      </x:c>
    </x:row>
    <x:row r="24">
      <x:c r="A24" s="13" t="n">
        <x:v>2022</x:v>
      </x:c>
      <x:c r="B24" s="13" t="str">
        <x:v>EP_021</x:v>
      </x:c>
      <x:c r="C24" s="13" t="str">
        <x:v>EAU_POTABLE</x:v>
      </x:c>
      <x:c r="D24" s="13" t="str">
        <x:v>CACEM</x:v>
      </x:c>
      <x:c r="E24" s="13" t="n">
        <x:v>0.19</x:v>
      </x:c>
      <x:c r="F24" s="13" t="str">
        <x:v>%</x:v>
      </x:c>
      <x:c r="G24" s="13" t="str">
        <x:v>SISPEA</x:v>
      </x:c>
      <x:c r="H24" s="13" t="str">
        <x:v>P107.2</x:v>
      </x:c>
      <x:c r="I24" s="13" t="str">
        <x:v>SISPEA_extraction_2022_AEP.ods</x:v>
      </x:c>
      <x:c r="J24" s="13" t="str">
        <x:v>2026-09-24T17:33:42.676</x:v>
      </x:c>
      <x:c r="K24" s="13" t="str">
        <x:v>COMPLETE</x:v>
      </x:c>
      <x:c r="L24" s="13" t="str">
        <x:v>OK</x:v>
      </x:c>
      <x:c r="M24" s="13" t="str">
        <x:v>PRODUCTION</x:v>
      </x:c>
      <x:c r="N24" s="13"/>
      <x:c r="O24" s="13" t="str">
        <x:v>Service SISPEA comparable au périmètre du rapport : 196862.</x:v>
      </x:c>
    </x:row>
    <x:row r="25">
      <x:c r="A25" s="13" t="n">
        <x:v>2022</x:v>
      </x:c>
      <x:c r="B25" s="13" t="str">
        <x:v>EP_021</x:v>
      </x:c>
      <x:c r="C25" s="13" t="str">
        <x:v>EAU_POTABLE</x:v>
      </x:c>
      <x:c r="D25" s="13" t="str">
        <x:v>CAESM</x:v>
      </x:c>
      <x:c r="E25" s="13" t="n">
        <x:v>0.18</x:v>
      </x:c>
      <x:c r="F25" s="13" t="str">
        <x:v>%</x:v>
      </x:c>
      <x:c r="G25" s="13" t="str">
        <x:v>SISPEA</x:v>
      </x:c>
      <x:c r="H25" s="13" t="str">
        <x:v>P107.2</x:v>
      </x:c>
      <x:c r="I25" s="13" t="str">
        <x:v>SISPEA_extraction_2022_AEP.ods</x:v>
      </x:c>
      <x:c r="J25" s="13" t="str">
        <x:v>2026-09-24T17:33:42.676</x:v>
      </x:c>
      <x:c r="K25" s="13" t="str">
        <x:v>COMPLETE</x:v>
      </x:c>
      <x:c r="L25" s="13" t="str">
        <x:v>OK</x:v>
      </x:c>
      <x:c r="M25" s="13" t="str">
        <x:v>PRODUCTION</x:v>
      </x:c>
      <x:c r="N25" s="13"/>
      <x:c r="O25" s="13" t="str">
        <x:v>Service SISPEA comparable au périmètre du rapport : 196847.</x:v>
      </x:c>
    </x:row>
    <x:row r="26">
      <x:c r="A26" s="13" t="n">
        <x:v>2022</x:v>
      </x:c>
      <x:c r="B26" s="13" t="str">
        <x:v>EP_021</x:v>
      </x:c>
      <x:c r="C26" s="13" t="str">
        <x:v>EAU_POTABLE</x:v>
      </x:c>
      <x:c r="D26" s="13" t="str">
        <x:v>CAP_NORD</x:v>
      </x:c>
      <x:c r="E26" s="13" t="n">
        <x:v>0.28</x:v>
      </x:c>
      <x:c r="F26" s="13" t="str">
        <x:v>%</x:v>
      </x:c>
      <x:c r="G26" s="13" t="str">
        <x:v>SISPEA</x:v>
      </x:c>
      <x:c r="H26" s="13" t="str">
        <x:v>P107.2</x:v>
      </x:c>
      <x:c r="I26" s="13" t="str">
        <x:v>SISPEA_extraction_2022_AEP.ods</x:v>
      </x:c>
      <x:c r="J26" s="13" t="str">
        <x:v>2026-09-24T17:33:42.676</x:v>
      </x:c>
      <x:c r="K26" s="13" t="str">
        <x:v>COMPLETE</x:v>
      </x:c>
      <x:c r="L26" s="13" t="str">
        <x:v>OK</x:v>
      </x:c>
      <x:c r="M26" s="13" t="str">
        <x:v>PRODUCTION</x:v>
      </x:c>
      <x:c r="N26" s="13"/>
      <x:c r="O26" s="13" t="str">
        <x:v>Service SISPEA comparable au périmètre du rapport : 299714.</x:v>
      </x:c>
    </x:row>
    <x:row r="27">
      <x:c r="A27" s="13" t="n">
        <x:v>2022</x:v>
      </x:c>
      <x:c r="B27" s="13" t="str">
        <x:v>POP_001</x:v>
      </x:c>
      <x:c r="C27" s="13" t="str">
        <x:v>POPULATION</x:v>
      </x:c>
      <x:c r="D27" s="13" t="str">
        <x:v>CACEM</x:v>
      </x:c>
      <x:c r="E27" s="13" t="n">
        <x:v>150323</x:v>
      </x:c>
      <x:c r="F27" s="13" t="str">
        <x:v>hab</x:v>
      </x:c>
      <x:c r="G27" s="13" t="str">
        <x:v>INSEE</x:v>
      </x:c>
      <x:c r="H27" s="13" t="str">
        <x:v>OFFICIEL_MILLESIME_N</x:v>
      </x:c>
      <x:c r="I27" s="13" t="str">
        <x:v>fact_population_resolue_2019_2024.csv</x:v>
      </x:c>
      <x:c r="J27" s="13" t="str"/>
      <x:c r="K27" s="13" t="str">
        <x:v>COMPLETE</x:v>
      </x:c>
      <x:c r="L27" s="13" t="str">
        <x:v>OK</x:v>
      </x:c>
      <x:c r="M27" s="13" t="str">
        <x:v>PRODUCTION</x:v>
      </x:c>
      <x:c r="N27" s="13" t="n">
        <x:v>2022</x:v>
      </x:c>
      <x:c r="O27" s="13" t="str"/>
    </x:row>
    <x:row r="28">
      <x:c r="A28" s="13" t="n">
        <x:v>2022</x:v>
      </x:c>
      <x:c r="B28" s="13" t="str">
        <x:v>POP_001</x:v>
      </x:c>
      <x:c r="C28" s="13" t="str">
        <x:v>POPULATION</x:v>
      </x:c>
      <x:c r="D28" s="13" t="str">
        <x:v>CAESM</x:v>
      </x:c>
      <x:c r="E28" s="13" t="n">
        <x:v>115038</x:v>
      </x:c>
      <x:c r="F28" s="13" t="str">
        <x:v>hab</x:v>
      </x:c>
      <x:c r="G28" s="13" t="str">
        <x:v>INSEE</x:v>
      </x:c>
      <x:c r="H28" s="13" t="str">
        <x:v>OFFICIEL_MILLESIME_N</x:v>
      </x:c>
      <x:c r="I28" s="13" t="str">
        <x:v>fact_population_resolue_2019_2024.csv</x:v>
      </x:c>
      <x:c r="J28" s="13" t="str"/>
      <x:c r="K28" s="13" t="str">
        <x:v>COMPLETE</x:v>
      </x:c>
      <x:c r="L28" s="13" t="str">
        <x:v>OK</x:v>
      </x:c>
      <x:c r="M28" s="13" t="str">
        <x:v>PRODUCTION</x:v>
      </x:c>
      <x:c r="N28" s="13" t="n">
        <x:v>2022</x:v>
      </x:c>
      <x:c r="O28" s="13" t="str"/>
    </x:row>
    <x:row r="29">
      <x:c r="A29" s="13" t="n">
        <x:v>2022</x:v>
      </x:c>
      <x:c r="B29" s="13" t="str">
        <x:v>POP_001</x:v>
      </x:c>
      <x:c r="C29" s="13" t="str">
        <x:v>POPULATION</x:v>
      </x:c>
      <x:c r="D29" s="13" t="str">
        <x:v>CAP_NORD</x:v>
      </x:c>
      <x:c r="E29" s="13" t="n">
        <x:v>95658</x:v>
      </x:c>
      <x:c r="F29" s="13" t="str">
        <x:v>hab</x:v>
      </x:c>
      <x:c r="G29" s="13" t="str">
        <x:v>INSEE</x:v>
      </x:c>
      <x:c r="H29" s="13" t="str">
        <x:v>OFFICIEL_MILLESIME_N</x:v>
      </x:c>
      <x:c r="I29" s="13" t="str">
        <x:v>fact_population_resolue_2019_2024.csv</x:v>
      </x:c>
      <x:c r="J29" s="13" t="str"/>
      <x:c r="K29" s="13" t="str">
        <x:v>COMPLETE</x:v>
      </x:c>
      <x:c r="L29" s="13" t="str">
        <x:v>OK</x:v>
      </x:c>
      <x:c r="M29" s="13" t="str">
        <x:v>PRODUCTION</x:v>
      </x:c>
      <x:c r="N29" s="13" t="n">
        <x:v>2022</x:v>
      </x:c>
      <x:c r="O29" s="13" t="str"/>
    </x:row>
    <x:row r="30">
      <x:c r="A30" s="13" t="n">
        <x:v>2022</x:v>
      </x:c>
      <x:c r="B30" s="13" t="str">
        <x:v>POP_001</x:v>
      </x:c>
      <x:c r="C30" s="13" t="str">
        <x:v>POPULATION</x:v>
      </x:c>
      <x:c r="D30" s="13" t="str">
        <x:v>Martinique</x:v>
      </x:c>
      <x:c r="E30" s="13" t="n">
        <x:v>361019</x:v>
      </x:c>
      <x:c r="F30" s="13" t="str">
        <x:v>hab</x:v>
      </x:c>
      <x:c r="G30" s="13" t="str">
        <x:v>INSEE</x:v>
      </x:c>
      <x:c r="H30" s="13" t="str">
        <x:v>OFFICIEL_MILLESIME_N</x:v>
      </x:c>
      <x:c r="I30" s="13" t="str">
        <x:v>fact_population_resolue_2019_2024.csv</x:v>
      </x:c>
      <x:c r="J30" s="13" t="str"/>
      <x:c r="K30" s="13" t="str">
        <x:v>COMPLETE</x:v>
      </x:c>
      <x:c r="L30" s="13" t="str">
        <x:v>OK</x:v>
      </x:c>
      <x:c r="M30" s="13" t="str">
        <x:v>PRODUCTION</x:v>
      </x:c>
      <x:c r="N30" s="13" t="n">
        <x:v>2022</x:v>
      </x:c>
      <x:c r="O30" s="13" t="str"/>
    </x:row>
    <x:row r="31">
      <x:c r="A31" s="13" t="n">
        <x:v>2022</x:v>
      </x:c>
      <x:c r="B31" s="13" t="str">
        <x:v>RES_001</x:v>
      </x:c>
      <x:c r="C31" s="13" t="str">
        <x:v>RESSOURCE</x:v>
      </x:c>
      <x:c r="D31" s="13" t="str">
        <x:v>Martinique</x:v>
      </x:c>
      <x:c r="E31" s="13" t="n">
        <x:v>70.70848942671284</x:v>
      </x:c>
      <x:c r="F31" s="13" t="str">
        <x:v>%</x:v>
      </x:c>
      <x:c r="G31" s="13" t="str">
        <x:v>BNPE</x:v>
      </x:c>
      <x:c r="H31" s="13" t="str">
        <x:v>AEP / total ×100</x:v>
      </x:c>
      <x:c r="I31" s="13" t="str">
        <x:v>mart_bnpe_indicateurs_2022.csv</x:v>
      </x:c>
      <x:c r="J31" s="13" t="str"/>
      <x:c r="K31" s="13" t="str">
        <x:v>COMPLETE</x:v>
      </x:c>
      <x:c r="L31" s="13" t="str">
        <x:v>OK</x:v>
      </x:c>
      <x:c r="M31" s="13" t="str">
        <x:v>PRODUCTION</x:v>
      </x:c>
      <x:c r="N31" s="13"/>
      <x:c r="O31" s="13" t="str">
        <x:v>AEP / total ×100</x:v>
      </x:c>
    </x:row>
    <x:row r="32">
      <x:c r="A32" s="13" t="n">
        <x:v>2022</x:v>
      </x:c>
      <x:c r="B32" s="13" t="str">
        <x:v>RES_002</x:v>
      </x:c>
      <x:c r="C32" s="13" t="str">
        <x:v>RESSOURCE</x:v>
      </x:c>
      <x:c r="D32" s="13" t="str">
        <x:v>Martinique</x:v>
      </x:c>
      <x:c r="E32" s="13" t="n">
        <x:v>25.794046002938696</x:v>
      </x:c>
      <x:c r="F32" s="13" t="str">
        <x:v>%</x:v>
      </x:c>
      <x:c r="G32" s="13" t="str">
        <x:v>BNPE</x:v>
      </x:c>
      <x:c r="H32" s="13" t="str">
        <x:v>IRR / total ×100</x:v>
      </x:c>
      <x:c r="I32" s="13" t="str">
        <x:v>mart_bnpe_indicateurs_2022.csv</x:v>
      </x:c>
      <x:c r="J32" s="13" t="str"/>
      <x:c r="K32" s="13" t="str">
        <x:v>COMPLETE</x:v>
      </x:c>
      <x:c r="L32" s="13" t="str">
        <x:v>OK</x:v>
      </x:c>
      <x:c r="M32" s="13" t="str">
        <x:v>PRODUCTION</x:v>
      </x:c>
      <x:c r="N32" s="13"/>
      <x:c r="O32" s="13" t="str">
        <x:v>IRR / total ×100</x:v>
      </x:c>
    </x:row>
    <x:row r="33">
      <x:c r="A33" s="13" t="n">
        <x:v>2022</x:v>
      </x:c>
      <x:c r="B33" s="13" t="str">
        <x:v>RES_003</x:v>
      </x:c>
      <x:c r="C33" s="13" t="str">
        <x:v>RESSOURCE</x:v>
      </x:c>
      <x:c r="D33" s="13" t="str">
        <x:v>Martinique</x:v>
      </x:c>
      <x:c r="E33" s="13" t="n">
        <x:v>3.497464570348452</x:v>
      </x:c>
      <x:c r="F33" s="13" t="str">
        <x:v>%</x:v>
      </x:c>
      <x:c r="G33" s="13" t="str">
        <x:v>BNPE</x:v>
      </x:c>
      <x:c r="H33" s="13" t="str">
        <x:v>IND / total ×100</x:v>
      </x:c>
      <x:c r="I33" s="13" t="str">
        <x:v>mart_bnpe_indicateurs_2022.csv</x:v>
      </x:c>
      <x:c r="J33" s="13" t="str"/>
      <x:c r="K33" s="13" t="str">
        <x:v>COMPLETE</x:v>
      </x:c>
      <x:c r="L33" s="13" t="str">
        <x:v>OK</x:v>
      </x:c>
      <x:c r="M33" s="13" t="str">
        <x:v>PRODUCTION</x:v>
      </x:c>
      <x:c r="N33" s="13"/>
      <x:c r="O33" s="13" t="str">
        <x:v>IND / total ×100</x:v>
      </x:c>
    </x:row>
    <x:row r="34">
      <x:c r="A34" s="13" t="n">
        <x:v>2022</x:v>
      </x:c>
      <x:c r="B34" s="13" t="str">
        <x:v>RES_004</x:v>
      </x:c>
      <x:c r="C34" s="13" t="str">
        <x:v>RESSOURCE</x:v>
      </x:c>
      <x:c r="D34" s="13" t="str">
        <x:v>Martinique</x:v>
      </x:c>
      <x:c r="E34" s="13" t="n">
        <x:v>94.60748882962646</x:v>
      </x:c>
      <x:c r="F34" s="13" t="str">
        <x:v>%</x:v>
      </x:c>
      <x:c r="G34" s="13" t="str">
        <x:v>BNPE</x:v>
      </x:c>
      <x:c r="H34" s="13" t="str">
        <x:v>AEP CONT / AEP ×100</x:v>
      </x:c>
      <x:c r="I34" s="13" t="str">
        <x:v>mart_bnpe_indicateurs_2022.csv</x:v>
      </x:c>
      <x:c r="J34" s="13" t="str"/>
      <x:c r="K34" s="13" t="str">
        <x:v>COMPLETE</x:v>
      </x:c>
      <x:c r="L34" s="13" t="str">
        <x:v>OK</x:v>
      </x:c>
      <x:c r="M34" s="13" t="str">
        <x:v>PRODUCTION</x:v>
      </x:c>
      <x:c r="N34" s="13"/>
      <x:c r="O34" s="13" t="str">
        <x:v>AEP CONT / AEP ×100</x:v>
      </x:c>
    </x:row>
    <x:row r="35">
      <x:c r="A35" s="13" t="n">
        <x:v>2022</x:v>
      </x:c>
      <x:c r="B35" s="13" t="str">
        <x:v>RES_005</x:v>
      </x:c>
      <x:c r="C35" s="13" t="str">
        <x:v>RESSOURCE</x:v>
      </x:c>
      <x:c r="D35" s="13" t="str">
        <x:v>Martinique</x:v>
      </x:c>
      <x:c r="E35" s="13" t="n">
        <x:v>5.3925111703735364</x:v>
      </x:c>
      <x:c r="F35" s="13" t="str">
        <x:v>%</x:v>
      </x:c>
      <x:c r="G35" s="13" t="str">
        <x:v>BNPE</x:v>
      </x:c>
      <x:c r="H35" s="13" t="str">
        <x:v>AEP SOUT / AEP ×100</x:v>
      </x:c>
      <x:c r="I35" s="13" t="str">
        <x:v>mart_bnpe_indicateurs_2022.csv</x:v>
      </x:c>
      <x:c r="J35" s="13" t="str"/>
      <x:c r="K35" s="13" t="str">
        <x:v>COMPLETE</x:v>
      </x:c>
      <x:c r="L35" s="13" t="str">
        <x:v>OK</x:v>
      </x:c>
      <x:c r="M35" s="13" t="str">
        <x:v>PRODUCTION</x:v>
      </x:c>
      <x:c r="N35" s="13"/>
      <x:c r="O35" s="13" t="str">
        <x:v>AEP SOUT / AEP ×100</x:v>
      </x:c>
    </x:row>
    <x:row r="36">
      <x:c r="A36" s="13" t="n">
        <x:v>2022</x:v>
      </x:c>
      <x:c r="B36" s="13" t="str">
        <x:v>RES_006</x:v>
      </x:c>
      <x:c r="C36" s="13" t="str">
        <x:v>RESSOURCE</x:v>
      </x:c>
      <x:c r="D36" s="13" t="str">
        <x:v>Martinique</x:v>
      </x:c>
      <x:c r="E36" s="13" t="n">
        <x:v>57.751463287439755</x:v>
      </x:c>
      <x:c r="F36" s="13" t="str">
        <x:v>%</x:v>
      </x:c>
      <x:c r="G36" s="13" t="str">
        <x:v>BNPE</x:v>
      </x:c>
      <x:c r="H36" s="13" t="str">
        <x:v>AEP ouvrages Lézarde + Blanche / AEP ×100</x:v>
      </x:c>
      <x:c r="I36" s="13" t="str">
        <x:v>mart_bnpe_indicateurs_2022.csv</x:v>
      </x:c>
      <x:c r="J36" s="13" t="str"/>
      <x:c r="K36" s="13" t="str">
        <x:v>COMPLETE</x:v>
      </x:c>
      <x:c r="L36" s="13" t="str">
        <x:v>OK</x:v>
      </x:c>
      <x:c r="M36" s="13" t="str">
        <x:v>PRODUCTION</x:v>
      </x:c>
      <x:c r="N36" s="13"/>
      <x:c r="O36" s="13" t="str">
        <x:v>AEP ouvrages Lézarde + Blanche / AEP ×100</x:v>
      </x:c>
    </x:row>
    <x:row r="37">
      <x:c r="A37" s="13" t="n">
        <x:v>2022</x:v>
      </x:c>
      <x:c r="B37" s="13" t="str">
        <x:v>RES_007</x:v>
      </x:c>
      <x:c r="C37" s="13" t="str">
        <x:v>RESSOURCE</x:v>
      </x:c>
      <x:c r="D37" s="13" t="str">
        <x:v>Martinique</x:v>
      </x:c>
      <x:c r="E37" s="13" t="n">
        <x:v>29</x:v>
      </x:c>
      <x:c r="F37" s="13" t="str">
        <x:v>nb</x:v>
      </x:c>
      <x:c r="G37" s="13" t="str">
        <x:v>BNPE</x:v>
      </x:c>
      <x:c r="H37" s="13" t="str">
        <x:v>Nombre d'ouvrages AEP présents dans BNPE</x:v>
      </x:c>
      <x:c r="I37" s="13" t="str">
        <x:v>mart_bnpe_indicateurs_2022.csv</x:v>
      </x:c>
      <x:c r="J37" s="13" t="str"/>
      <x:c r="K37" s="13" t="str">
        <x:v>PARTIAL</x:v>
      </x:c>
      <x:c r="L37" s="13" t="str">
        <x:v>INCOMPLETE_INVENTORY</x:v>
      </x:c>
      <x:c r="M37" s="13" t="str">
        <x:v>DIAGNOSTIC</x:v>
      </x:c>
      <x:c r="N37" s="13"/>
      <x:c r="O37" s="13" t="str">
        <x:v>Nombre d'ouvrages AEP présents dans BNPE | BNPE non exhaustive pour compter les captages.</x:v>
      </x:c>
    </x:row>
    <x:row r="38">
      <x:c r="A38" s="13" t="n">
        <x:v>2022</x:v>
      </x:c>
      <x:c r="B38" s="13" t="str">
        <x:v>RES_008</x:v>
      </x:c>
      <x:c r="C38" s="13" t="str">
        <x:v>RESSOURCE</x:v>
      </x:c>
      <x:c r="D38" s="13" t="str">
        <x:v>Martinique</x:v>
      </x:c>
      <x:c r="E38" s="13" t="n">
        <x:v>13</x:v>
      </x:c>
      <x:c r="F38" s="13" t="str">
        <x:v>nb</x:v>
      </x:c>
      <x:c r="G38" s="13" t="str">
        <x:v>BNPE</x:v>
      </x:c>
      <x:c r="H38" s="13" t="str">
        <x:v>Nombre d'ouvrages AEP CONT présents dans BNPE</x:v>
      </x:c>
      <x:c r="I38" s="13" t="str">
        <x:v>mart_bnpe_indicateurs_2022.csv</x:v>
      </x:c>
      <x:c r="J38" s="13" t="str"/>
      <x:c r="K38" s="13" t="str">
        <x:v>PARTIAL</x:v>
      </x:c>
      <x:c r="L38" s="13" t="str">
        <x:v>INCOMPLETE_INVENTORY</x:v>
      </x:c>
      <x:c r="M38" s="13" t="str">
        <x:v>DIAGNOSTIC</x:v>
      </x:c>
      <x:c r="N38" s="13"/>
      <x:c r="O38" s="13" t="str">
        <x:v>Nombre d'ouvrages AEP CONT présents dans BNPE | BNPE non exhaustive pour compter les captages.</x:v>
      </x:c>
    </x:row>
    <x:row r="39">
      <x:c r="A39" s="13" t="n">
        <x:v>2022</x:v>
      </x:c>
      <x:c r="B39" s="13" t="str">
        <x:v>RES_009</x:v>
      </x:c>
      <x:c r="C39" s="13" t="str">
        <x:v>RESSOURCE</x:v>
      </x:c>
      <x:c r="D39" s="13" t="str">
        <x:v>Martinique</x:v>
      </x:c>
      <x:c r="E39" s="13" t="n">
        <x:v>16</x:v>
      </x:c>
      <x:c r="F39" s="13" t="str">
        <x:v>nb</x:v>
      </x:c>
      <x:c r="G39" s="13" t="str">
        <x:v>BNPE</x:v>
      </x:c>
      <x:c r="H39" s="13" t="str">
        <x:v>Nombre d'ouvrages AEP SOUT présents dans BNPE</x:v>
      </x:c>
      <x:c r="I39" s="13" t="str">
        <x:v>mart_bnpe_indicateurs_2022.csv</x:v>
      </x:c>
      <x:c r="J39" s="13" t="str"/>
      <x:c r="K39" s="13" t="str">
        <x:v>PARTIAL</x:v>
      </x:c>
      <x:c r="L39" s="13" t="str">
        <x:v>INCOMPLETE_INVENTORY</x:v>
      </x:c>
      <x:c r="M39" s="13" t="str">
        <x:v>DIAGNOSTIC</x:v>
      </x:c>
      <x:c r="N39" s="13"/>
      <x:c r="O39" s="13" t="str">
        <x:v>Nombre d'ouvrages AEP SOUT présents dans BNPE | BNPE non exhaustive pour compter les captages.</x:v>
      </x:c>
    </x:row>
    <x:row r="40">
      <x:c r="A40" s="13" t="n">
        <x:v>2022</x:v>
      </x:c>
      <x:c r="B40" s="13" t="str">
        <x:v>RES_014</x:v>
      </x:c>
      <x:c r="C40" s="13" t="str">
        <x:v>RESSOURCE</x:v>
      </x:c>
      <x:c r="D40" s="13" t="str">
        <x:v>Martinique</x:v>
      </x:c>
      <x:c r="E40" s="13" t="n">
        <x:v>44771108</x:v>
      </x:c>
      <x:c r="F40" s="13" t="str">
        <x:v>m3/an</x:v>
      </x:c>
      <x:c r="G40" s="13" t="str">
        <x:v>BNPE</x:v>
      </x:c>
      <x:c r="H40" s="13" t="str">
        <x:v>Somme Code usage BNPE=AEP</x:v>
      </x:c>
      <x:c r="I40" s="13" t="str">
        <x:v>mart_bnpe_indicateurs_2022.csv</x:v>
      </x:c>
      <x:c r="J40" s="13" t="str"/>
      <x:c r="K40" s="13" t="str">
        <x:v>COMPLETE</x:v>
      </x:c>
      <x:c r="L40" s="13" t="str">
        <x:v>OK</x:v>
      </x:c>
      <x:c r="M40" s="13" t="str">
        <x:v>PRODUCTION</x:v>
      </x:c>
      <x:c r="N40" s="13"/>
      <x:c r="O40" s="13" t="str">
        <x:v>Somme Code usage BNPE=AEP</x:v>
      </x:c>
    </x:row>
    <x:row r="41">
      <x:c r="A41" s="13" t="n">
        <x:v>2022</x:v>
      </x:c>
      <x:c r="B41" s="13" t="str">
        <x:v>RES_015</x:v>
      </x:c>
      <x:c r="C41" s="13" t="str">
        <x:v>RESSOURCE</x:v>
      </x:c>
      <x:c r="D41" s="13" t="str">
        <x:v>Martinique</x:v>
      </x:c>
      <x:c r="E41" s="13" t="n">
        <x:v>63317868</x:v>
      </x:c>
      <x:c r="F41" s="13" t="str">
        <x:v>m3/an</x:v>
      </x:c>
      <x:c r="G41" s="13" t="str">
        <x:v>BNPE</x:v>
      </x:c>
      <x:c r="H41" s="13" t="str">
        <x:v>Somme détail prelevements.csv</x:v>
      </x:c>
      <x:c r="I41" s="13" t="str">
        <x:v>mart_bnpe_indicateurs_2022.csv</x:v>
      </x:c>
      <x:c r="J41" s="13" t="str"/>
      <x:c r="K41" s="13" t="str">
        <x:v>COMPLETE</x:v>
      </x:c>
      <x:c r="L41" s="13" t="str">
        <x:v>OK</x:v>
      </x:c>
      <x:c r="M41" s="13" t="str">
        <x:v>PRODUCTION</x:v>
      </x:c>
      <x:c r="N41" s="13"/>
      <x:c r="O41" s="13" t="str">
        <x:v>Somme détail prelevements.csv</x:v>
      </x:c>
    </x:row>
    <x:row r="42">
      <x:c r="A42" s="13" t="n">
        <x:v>2022</x:v>
      </x:c>
      <x:c r="B42" s="13" t="str">
        <x:v>RES_016</x:v>
      </x:c>
      <x:c r="C42" s="13" t="str">
        <x:v>RESSOURCE</x:v>
      </x:c>
      <x:c r="D42" s="13" t="str">
        <x:v>Martinique</x:v>
      </x:c>
      <x:c r="E42" s="13" t="n">
        <x:v>16332240</x:v>
      </x:c>
      <x:c r="F42" s="13" t="str">
        <x:v>m3/an</x:v>
      </x:c>
      <x:c r="G42" s="13" t="str">
        <x:v>BNPE</x:v>
      </x:c>
      <x:c r="H42" s="13" t="str">
        <x:v>Somme Code usage BNPE=IRR</x:v>
      </x:c>
      <x:c r="I42" s="13" t="str">
        <x:v>mart_bnpe_indicateurs_2022.csv</x:v>
      </x:c>
      <x:c r="J42" s="13" t="str"/>
      <x:c r="K42" s="13" t="str">
        <x:v>COMPLETE</x:v>
      </x:c>
      <x:c r="L42" s="13" t="str">
        <x:v>OK</x:v>
      </x:c>
      <x:c r="M42" s="13" t="str">
        <x:v>PRODUCTION</x:v>
      </x:c>
      <x:c r="N42" s="13"/>
      <x:c r="O42" s="13" t="str">
        <x:v>Somme Code usage BNPE=IRR</x:v>
      </x:c>
    </x:row>
    <x:row r="43">
      <x:c r="A43" s="13" t="n">
        <x:v>2022</x:v>
      </x:c>
      <x:c r="B43" s="13" t="str">
        <x:v>RES_017</x:v>
      </x:c>
      <x:c r="C43" s="13" t="str">
        <x:v>RESSOURCE</x:v>
      </x:c>
      <x:c r="D43" s="13" t="str">
        <x:v>Martinique</x:v>
      </x:c>
      <x:c r="E43" s="13" t="n">
        <x:v>2214520</x:v>
      </x:c>
      <x:c r="F43" s="13" t="str">
        <x:v>m3/an</x:v>
      </x:c>
      <x:c r="G43" s="13" t="str">
        <x:v>BNPE</x:v>
      </x:c>
      <x:c r="H43" s="13" t="str">
        <x:v>Somme Code usage BNPE=IND</x:v>
      </x:c>
      <x:c r="I43" s="13" t="str">
        <x:v>mart_bnpe_indicateurs_2022.csv</x:v>
      </x:c>
      <x:c r="J43" s="13" t="str"/>
      <x:c r="K43" s="13" t="str">
        <x:v>COMPLETE</x:v>
      </x:c>
      <x:c r="L43" s="13" t="str">
        <x:v>OK</x:v>
      </x:c>
      <x:c r="M43" s="13" t="str">
        <x:v>PRODUCTION</x:v>
      </x:c>
      <x:c r="N43" s="13"/>
      <x:c r="O43" s="13" t="str">
        <x:v>Somme Code usage BNPE=IND</x:v>
      </x:c>
    </x:row>
  </x:sheetData>
  <x:conditionalFormatting sqref="M2:M43">
    <x:cfRule type="expression" dxfId="2" priority="1">
      <x:formula>M2="PRODUCTION"</x:formula>
    </x:cfRule>
    <x:cfRule type="expression" dxfId="3" priority="2">
      <x:formula>M2="DIAGNOSTIC"</x:formula>
    </x:cfRule>
    <x:cfRule type="expression" dxfId="4" priority="3">
      <x:formula>M2="VALIDATION"</x:formula>
    </x:cfRule>
  </x:conditionalFormatting>
  <x:conditionalFormatting sqref="L2:L43">
    <x:cfRule type="expression" dxfId="5" priority="4">
      <x:formula>L2="COVERAGE_PARTIAL"</x:formula>
    </x:cfRule>
    <x:cfRule type="expression" dxfId="6" priority="5">
      <x:formula>L2="INCOMPLETE_INVENTORY"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4ab670891c48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4" hidden="0" customWidth="1"/>
    <x:col min="5" max="5" width="18" hidden="0" customWidth="1"/>
    <x:col min="6" max="6" width="24" hidden="0" customWidth="1"/>
    <x:col min="7" max="7" width="80" hidden="0" customWidth="1"/>
  </x:cols>
  <x:sheetData>
    <x:row r="1">
      <x:c r="A1" s="43" t="str">
        <x:v>Année</x:v>
      </x:c>
      <x:c r="B1" s="43" t="str">
        <x:v>ID</x:v>
      </x:c>
      <x:c r="C1" s="43" t="str">
        <x:v>Territoire</x:v>
      </x:c>
      <x:c r="D1" s="43" t="str">
        <x:v>Sévérité</x:v>
      </x:c>
      <x:c r="E1" s="43" t="str">
        <x:v>Couverture</x:v>
      </x:c>
      <x:c r="F1" s="43" t="str">
        <x:v>Qualité</x:v>
      </x:c>
      <x:c r="G1" s="43" t="str">
        <x:v>Message</x:v>
      </x:c>
    </x:row>
    <x:row r="2">
      <x:c r="A2" s="13" t="n">
        <x:v>2022</x:v>
      </x:c>
      <x:c r="B2" s="13" t="str">
        <x:v>ANC_001</x:v>
      </x:c>
      <x:c r="C2" s="13" t="str">
        <x:v>Martinique</x:v>
      </x:c>
      <x:c r="D2" s="13" t="str">
        <x:v>INFO</x:v>
      </x:c>
      <x:c r="E2" s="13" t="str">
        <x:v>COMPLETE</x:v>
      </x:c>
      <x:c r="F2" s="13" t="str">
        <x:v>REVISED_SNAPSHOT</x:v>
      </x:c>
      <x:c r="G2" s="13" t="str">
        <x:v>Part de population relevant de l’ANC d’après le snapshot SISPEA courant.</x:v>
      </x:c>
    </x:row>
    <x:row r="3">
      <x:c r="A3" s="13" t="n">
        <x:v>2022</x:v>
      </x:c>
      <x:c r="B3" s="13" t="str">
        <x:v>ANC_002</x:v>
      </x:c>
      <x:c r="C3" s="13" t="str">
        <x:v>Martinique</x:v>
      </x:c>
      <x:c r="D3" s="13" t="str">
        <x:v>INFO</x:v>
      </x:c>
      <x:c r="E3" s="13" t="str">
        <x:v>COMPLETE</x:v>
      </x:c>
      <x:c r="F3" s="13" t="str">
        <x:v>REVISED_SNAPSHOT</x:v>
      </x:c>
      <x:c r="G3" s="13" t="str">
        <x:v>Population ANC du snapshot courant ; à confronter aux SPANC/ODE.</x:v>
      </x:c>
    </x:row>
    <x:row r="4">
      <x:c r="A4" s="13" t="n">
        <x:v>2022</x:v>
      </x:c>
      <x:c r="B4" s="13" t="str">
        <x:v>ANC_003</x:v>
      </x:c>
      <x:c r="C4" s="13" t="str">
        <x:v>Martinique</x:v>
      </x:c>
      <x:c r="D4" s="13" t="str">
        <x:v>INFO</x:v>
      </x:c>
      <x:c r="E4" s="13" t="str">
        <x:v>PARTIAL</x:v>
      </x:c>
      <x:c r="F4" s="13" t="str">
        <x:v>REVISED_SNAPSHOT</x:v>
      </x:c>
      <x:c r="G4" s="13" t="str">
        <x:v>Somme des services renseignés ; contrôle SPANC requis.</x:v>
      </x:c>
    </x:row>
    <x:row r="5">
      <x:c r="A5" s="13" t="n">
        <x:v>2022</x:v>
      </x:c>
      <x:c r="B5" s="13" t="str">
        <x:v>ANC_011</x:v>
      </x:c>
      <x:c r="C5" s="13" t="str">
        <x:v>Martinique</x:v>
      </x:c>
      <x:c r="D5" s="13" t="str">
        <x:v>WARNING</x:v>
      </x:c>
      <x:c r="E5" s="13" t="str">
        <x:v>PARTIAL</x:v>
      </x:c>
      <x:c r="F5" s="13" t="str">
        <x:v>COVERAGE_PARTIAL</x:v>
      </x:c>
      <x:c r="G5" s="13" t="str">
        <x:v>2/3 services renseignés.</x:v>
      </x:c>
    </x:row>
    <x:row r="6">
      <x:c r="A6" s="13" t="n">
        <x:v>2022</x:v>
      </x:c>
      <x:c r="B6" s="13" t="str">
        <x:v>ANC_013</x:v>
      </x:c>
      <x:c r="C6" s="13" t="str">
        <x:v>Martinique</x:v>
      </x:c>
      <x:c r="D6" s="13" t="str">
        <x:v>WARNING</x:v>
      </x:c>
      <x:c r="E6" s="13" t="str">
        <x:v>PARTIAL</x:v>
      </x:c>
      <x:c r="F6" s="13" t="str">
        <x:v>COVERAGE_PARTIAL</x:v>
      </x:c>
      <x:c r="G6" s="13" t="str">
        <x:v>2/3 services utilisés.</x:v>
      </x:c>
    </x:row>
    <x:row r="7">
      <x:c r="A7" s="13" t="n">
        <x:v>2022</x:v>
      </x:c>
      <x:c r="B7" s="13" t="str">
        <x:v>AC_004</x:v>
      </x:c>
      <x:c r="C7" s="13" t="str">
        <x:v>Martinique</x:v>
      </x:c>
      <x:c r="D7" s="13" t="str">
        <x:v>INFO</x:v>
      </x:c>
      <x:c r="E7" s="13" t="str">
        <x:v>COMPLETE</x:v>
      </x:c>
      <x:c r="F7" s="13" t="str">
        <x:v>REVISED_SNAPSHOT</x:v>
      </x:c>
      <x:c r="G7" s="13" t="str">
        <x:v>Le snapshot courant diffère du rapport 2022 historique.</x:v>
      </x:c>
    </x:row>
    <x:row r="8">
      <x:c r="A8" s="13" t="n">
        <x:v>2022</x:v>
      </x:c>
      <x:c r="B8" s="13" t="str">
        <x:v>AC_005</x:v>
      </x:c>
      <x:c r="C8" s="13" t="str">
        <x:v>Martinique</x:v>
      </x:c>
      <x:c r="D8" s="13" t="str">
        <x:v>INFO</x:v>
      </x:c>
      <x:c r="E8" s="13" t="str">
        <x:v>COMPLETE</x:v>
      </x:c>
      <x:c r="F8" s="13" t="str">
        <x:v>REVISED_SNAPSHOT</x:v>
      </x:c>
      <x:c r="G8" s="13" t="str">
        <x:v>Le snapshot courant diffère du rapport 2022 historique.</x:v>
      </x:c>
    </x:row>
    <x:row r="9">
      <x:c r="A9" s="13" t="n">
        <x:v>2022</x:v>
      </x:c>
      <x:c r="B9" s="13" t="str">
        <x:v>AC_014</x:v>
      </x:c>
      <x:c r="C9" s="13" t="str">
        <x:v>Martinique</x:v>
      </x:c>
      <x:c r="D9" s="13" t="str">
        <x:v>INFO</x:v>
      </x:c>
      <x:c r="E9" s="13" t="str">
        <x:v>COMPLETE</x:v>
      </x:c>
      <x:c r="F9" s="13" t="str">
        <x:v>REVISED_SNAPSHOT</x:v>
      </x:c>
      <x:c r="G9" s="13" t="str">
        <x:v>Snapshot SISPEA actuel ; historique susceptible d’avoir été révisé.</x:v>
      </x:c>
    </x:row>
    <x:row r="10">
      <x:c r="A10" s="13" t="n">
        <x:v>2022</x:v>
      </x:c>
      <x:c r="B10" s="13" t="str">
        <x:v>AC_016</x:v>
      </x:c>
      <x:c r="C10" s="13" t="str">
        <x:v>Martinique</x:v>
      </x:c>
      <x:c r="D10" s="13" t="str">
        <x:v>INFO</x:v>
      </x:c>
      <x:c r="E10" s="13" t="str">
        <x:v>COMPLETE</x:v>
      </x:c>
      <x:c r="F10" s="13" t="str">
        <x:v>REVISED_SNAPSHOT</x:v>
      </x:c>
      <x:c r="G10" s="13" t="str">
        <x:v>Part d'abonnés AC parmi les abonnés AEP ; ne pas l'intituler part de population raccordée.</x:v>
      </x:c>
    </x:row>
    <x:row r="11">
      <x:c r="A11" s="13" t="n">
        <x:v>2022</x:v>
      </x:c>
      <x:c r="B11" s="13" t="str">
        <x:v>RES_007</x:v>
      </x:c>
      <x:c r="C11" s="13" t="str">
        <x:v>Martinique</x:v>
      </x:c>
      <x:c r="D11" s="13" t="str">
        <x:v>WARNING</x:v>
      </x:c>
      <x:c r="E11" s="13" t="str">
        <x:v>PARTIAL</x:v>
      </x:c>
      <x:c r="F11" s="13" t="str">
        <x:v>INCOMPLETE_INVENTORY</x:v>
      </x:c>
      <x:c r="G11" s="13" t="str">
        <x:v>Nombre d'ouvrages AEP présents dans BNPE | BNPE non exhaustive pour compter les captages.</x:v>
      </x:c>
    </x:row>
    <x:row r="12">
      <x:c r="A12" s="13" t="n">
        <x:v>2022</x:v>
      </x:c>
      <x:c r="B12" s="13" t="str">
        <x:v>RES_008</x:v>
      </x:c>
      <x:c r="C12" s="13" t="str">
        <x:v>Martinique</x:v>
      </x:c>
      <x:c r="D12" s="13" t="str">
        <x:v>WARNING</x:v>
      </x:c>
      <x:c r="E12" s="13" t="str">
        <x:v>PARTIAL</x:v>
      </x:c>
      <x:c r="F12" s="13" t="str">
        <x:v>INCOMPLETE_INVENTORY</x:v>
      </x:c>
      <x:c r="G12" s="13" t="str">
        <x:v>Nombre d'ouvrages AEP CONT présents dans BNPE | BNPE non exhaustive pour compter les captages.</x:v>
      </x:c>
    </x:row>
    <x:row r="13">
      <x:c r="A13" s="13" t="n">
        <x:v>2022</x:v>
      </x:c>
      <x:c r="B13" s="13" t="str">
        <x:v>RES_009</x:v>
      </x:c>
      <x:c r="C13" s="13" t="str">
        <x:v>Martinique</x:v>
      </x:c>
      <x:c r="D13" s="13" t="str">
        <x:v>WARNING</x:v>
      </x:c>
      <x:c r="E13" s="13" t="str">
        <x:v>PARTIAL</x:v>
      </x:c>
      <x:c r="F13" s="13" t="str">
        <x:v>INCOMPLETE_INVENTORY</x:v>
      </x:c>
      <x:c r="G13" s="13" t="str">
        <x:v>Nombre d'ouvrages AEP SOUT présents dans BNPE | BNPE non exhaustive pour compter les captages.</x:v>
      </x:c>
    </x:row>
  </x:sheetData>
  <x:pageMargins left="0.7" right="0.7" top="0.75" bottom="0.75" header="0.3" footer="0.3"/>
  <x:tableParts count="1">
    <x:tablePart xmlns:r="http://schemas.openxmlformats.org/officeDocument/2006/relationships" r:id="Rfba4eae2e901495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2" hidden="0" customWidth="1"/>
    <x:col min="4" max="4" width="62" hidden="0" customWidth="1"/>
  </x:cols>
  <x:sheetData>
    <x:row r="1">
      <x:c r="A1" s="22" t="str">
        <x:v>Domaine</x:v>
      </x:c>
      <x:c r="B1" s="22" t="str">
        <x:v>Source primaire</x:v>
      </x:c>
      <x:c r="C1" s="22" t="str">
        <x:v>Complément</x:v>
      </x:c>
      <x:c r="D1" s="22" t="str">
        <x:v>Règle</x:v>
      </x:c>
    </x:row>
    <x:row r="2">
      <x:c r="A2" s="13" t="str">
        <x:v>Population municipale</x:v>
      </x:c>
      <x:c r="B2" s="13" t="str">
        <x:v>INSEE Melodi</x:v>
      </x:c>
      <x:c r="C2" s="13" t="str">
        <x:v>Publications INSEE</x:v>
      </x:c>
      <x:c r="D2" s="13" t="str">
        <x:v>Millésime N ; sinon dernière officielle avec statut explicite.</x:v>
      </x:c>
    </x:row>
    <x:row r="3">
      <x:c r="A3" s="13" t="str">
        <x:v>Prélèvements / usages / volumes ouvrage</x:v>
      </x:c>
      <x:c r="B3" s="13" t="str">
        <x:v>BNPE</x:v>
      </x:c>
      <x:c r="C3" s="13" t="str">
        <x:v>SISPEA / ODE</x:v>
      </x:c>
      <x:c r="D3" s="13" t="str">
        <x:v>BNPE pour volumes, pas inventaire exhaustif des captages.</x:v>
      </x:c>
    </x:row>
    <x:row r="4">
      <x:c r="A4" s="13" t="str">
        <x:v>Inventaire captages AEP</x:v>
      </x:c>
      <x:c r="B4" s="13" t="str">
        <x:v>SISPEA / ODE / ARS</x:v>
      </x:c>
      <x:c r="C4" s="13" t="str">
        <x:v>BNPE</x:v>
      </x:c>
      <x:c r="D4" s="13" t="str">
        <x:v>Référentiel patrimonial millésimé.</x:v>
      </x:c>
    </x:row>
    <x:row r="5">
      <x:c r="A5" s="13" t="str">
        <x:v>Qualité AEP</x:v>
      </x:c>
      <x:c r="B5" s="13" t="str">
        <x:v>ARS</x:v>
      </x:c>
      <x:c r="C5" s="13" t="str">
        <x:v>SISPEA</x:v>
      </x:c>
      <x:c r="D5" s="13" t="str">
        <x:v>Même millésime et même périmètre sanitaire.</x:v>
      </x:c>
    </x:row>
    <x:row r="6">
      <x:c r="A6" s="13" t="str">
        <x:v>Abonnés / réseaux / performances</x:v>
      </x:c>
      <x:c r="B6" s="13" t="str">
        <x:v>SISPEA</x:v>
      </x:c>
      <x:c r="C6" s="13" t="str">
        <x:v>RPQS/RAD</x:v>
      </x:c>
      <x:c r="D6" s="13" t="str">
        <x:v>Pas de moyenne simple des pourcentages.</x:v>
      </x:c>
    </x:row>
    <x:row r="7">
      <x:c r="A7" s="13" t="str">
        <x:v>Volumes produits/facturés divergents</x:v>
      </x:c>
      <x:c r="B7" s="13" t="str">
        <x:v>RPQS/RAD/ODE</x:v>
      </x:c>
      <x:c r="C7" s="13" t="str">
        <x:v>SISPEA</x:v>
      </x:c>
      <x:c r="D7" s="13" t="str">
        <x:v>Définition documentée et versionnée.</x:v>
      </x:c>
    </x:row>
    <x:row r="8">
      <x:c r="A8" s="13" t="str">
        <x:v>STEU / conformité ERU</x:v>
      </x:c>
      <x:c r="B8" s="13" t="str">
        <x:v>Portail national assainissement</x:v>
      </x:c>
      <x:c r="C8" s="13" t="str">
        <x:v>DEAL / ODE / RPQS</x:v>
      </x:c>
      <x:c r="D8" s="13" t="str">
        <x:v>Historiser révisions et définition de conformité.</x:v>
      </x:c>
    </x:row>
    <x:row r="9">
      <x:c r="A9" s="13" t="str">
        <x:v>Boues AC</x:v>
      </x:c>
      <x:c r="B9" s="13" t="str">
        <x:v>SISPEA / RPQS-RAD</x:v>
      </x:c>
      <x:c r="C9" s="13" t="str">
        <x:v>Portail assainissement</x:v>
      </x:c>
      <x:c r="D9" s="13" t="str">
        <x:v>Contrôle croisé.</x:v>
      </x:c>
    </x:row>
    <x:row r="10">
      <x:c r="A10" s="13" t="str">
        <x:v>ANC P301.3</x:v>
      </x:c>
      <x:c r="B10" s="13" t="str">
        <x:v>SISPEA si couverture complète</x:v>
      </x:c>
      <x:c r="C10" s="13" t="str">
        <x:v>SPANC / RPQS</x:v>
      </x:c>
      <x:c r="D10" s="13" t="str">
        <x:v>Bloquer publication si couverture incomplète.</x:v>
      </x:c>
    </x:row>
  </x:sheetData>
  <x:pageMargins left="0.7" right="0.7" top="0.75" bottom="0.75" header="0.3" footer="0.3"/>
  <x:tableParts count="1">
    <x:tablePart xmlns:r="http://schemas.openxmlformats.org/officeDocument/2006/relationships" r:id="Rabb1b74612b14ff0"/>
  </x:tableParts>
</x:worksheet>
</file>