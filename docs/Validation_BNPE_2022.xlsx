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3ce29f5f984b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se" sheetId="1" r:id="R35c2800a28b24b53"/>
    <x:sheet xmlns:r="http://schemas.openxmlformats.org/officeDocument/2006/relationships" name="Validation_rapport" sheetId="2" r:id="R77b1a3810ac44d8e"/>
    <x:sheet xmlns:r="http://schemas.openxmlformats.org/officeDocument/2006/relationships" name="Synthese_usages" sheetId="3" r:id="Rff2663084d30464e"/>
    <x:sheet xmlns:r="http://schemas.openxmlformats.org/officeDocument/2006/relationships" name="Types_eau" sheetId="4" r:id="R11b45e2b2ab948d3"/>
    <x:sheet xmlns:r="http://schemas.openxmlformats.org/officeDocument/2006/relationships" name="Ouvrages_AEP_2022" sheetId="5" r:id="R3b941b1cb42a4a56"/>
    <x:sheet xmlns:r="http://schemas.openxmlformats.org/officeDocument/2006/relationships" name="Evolution_temporelle" sheetId="6" r:id="R09383c47463e452f"/>
    <x:sheet xmlns:r="http://schemas.openxmlformats.org/officeDocument/2006/relationships" name="Qualite_donnees" sheetId="7" r:id="Rf2898e7b6e05447a"/>
    <x:sheet xmlns:r="http://schemas.openxmlformats.org/officeDocument/2006/relationships" name="Sources" sheetId="8" r:id="Rb4c9b4fdca3e4a60"/>
    <x:sheet xmlns:r="http://schemas.openxmlformats.org/officeDocument/2006/relationships" name="Workflow_annuel" sheetId="9" r:id="Rb0f32db23ed34d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"/>
    <x:numFmt numFmtId="202" formatCode="#,##0.00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B4F7C"/>
      <x:name val="Carlito"/>
    </x:font>
    <x:font>
      <x:b/>
      <x:sz val="11"/>
      <x:color rgb="FFFFFFF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B4F7C"/>
      </x:patternFill>
    </x:fill>
    <x:fill>
      <x:patternFill patternType="solid">
        <x:fgColor rgb="FFEAF4FA"/>
      </x:patternFill>
    </x:fill>
    <x:fill>
      <x:patternFill patternType="solid">
        <x:fgColor rgb="FF169CA6"/>
      </x:patternFill>
    </x:fill>
    <x:fill>
      <x:patternFill patternType="solid">
        <x:fgColor rgb="FFF3F5F7"/>
      </x:patternFill>
    </x:fill>
    <x:fill>
      <x:patternFill patternType="solid">
        <x:fgColor rgb="FFFFFFFF"/>
      </x:patternFill>
    </x:fill>
    <x:fill>
      <x:patternFill patternType="solid">
        <x:fgColor rgb="FFA33A2B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</x:cellXfs>
  <x:cellStyles count="1">
    <x:cellStyle name="Normal" xfId="0"/>
  </x:cellStyles>
  <x:dxfs count="5">
    <x:dxf>
      <x:fill>
        <x:patternFill patternType="solid">
          <x:bgColor rgb="FFE6F4EA"/>
        </x:patternFill>
      </x:fill>
    </x:dxf>
    <x:dxf>
      <x:fill>
        <x:patternFill patternType="solid">
          <x:bgColor rgb="FFFFF0CC"/>
        </x:patternFill>
      </x:fill>
    </x:dxf>
    <x:dxf>
      <x:fill>
        <x:patternFill patternType="solid">
          <x:bgColor rgb="FFFDE7E3"/>
        </x:patternFill>
      </x:fill>
    </x:dxf>
    <x:dxf>
      <x:fill>
        <x:patternFill patternType="solid">
          <x:bgColor rgb="FFEAF4FA"/>
        </x:patternFill>
      </x:fill>
    </x:dxf>
    <x:dxf>
      <x:fill>
        <x:patternFill patternType="solid">
          <x:bgColor rgb="FFF4ED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3a046e74f4414f" /><Relationship Type="http://schemas.openxmlformats.org/officeDocument/2006/relationships/theme" Target="/xl/theme/theme1.xml" Id="Rb5872fab21684083" /><Relationship Type="http://schemas.openxmlformats.org/officeDocument/2006/relationships/sharedStrings" Target="/xl/sharedStrings.xml" Id="Rcfa553f01c894bad" /><Relationship Type="http://schemas.openxmlformats.org/officeDocument/2006/relationships/worksheet" Target="/xl/worksheets/sheet1.xml" Id="R35c2800a28b24b53" /><Relationship Type="http://schemas.openxmlformats.org/officeDocument/2006/relationships/worksheet" Target="/xl/worksheets/sheet2.xml" Id="R77b1a3810ac44d8e" /><Relationship Type="http://schemas.openxmlformats.org/officeDocument/2006/relationships/worksheet" Target="/xl/worksheets/sheet3.xml" Id="Rff2663084d30464e" /><Relationship Type="http://schemas.openxmlformats.org/officeDocument/2006/relationships/worksheet" Target="/xl/worksheets/sheet4.xml" Id="R11b45e2b2ab948d3" /><Relationship Type="http://schemas.openxmlformats.org/officeDocument/2006/relationships/worksheet" Target="/xl/worksheets/sheet5.xml" Id="R3b941b1cb42a4a56" /><Relationship Type="http://schemas.openxmlformats.org/officeDocument/2006/relationships/worksheet" Target="/xl/worksheets/sheet6.xml" Id="R09383c47463e452f" /><Relationship Type="http://schemas.openxmlformats.org/officeDocument/2006/relationships/worksheet" Target="/xl/worksheets/sheet7.xml" Id="Rf2898e7b6e05447a" /><Relationship Type="http://schemas.openxmlformats.org/officeDocument/2006/relationships/worksheet" Target="/xl/worksheets/sheet8.xml" Id="Rb4c9b4fdca3e4a60" /><Relationship Type="http://schemas.openxmlformats.org/officeDocument/2006/relationships/worksheet" Target="/xl/worksheets/sheet9.xml" Id="Rb0f32db23ed34d1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d7d16c9caee4e05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294f82f2a8f7415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Volumes 2022 — rapport vs snapshot BNPE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Rapport ODE (m³)</c:v>
          </c:tx>
          <c:cat>
            <c:strRef>
              <c:f>'Synthese'!$D$26:$D$28</c:f>
              <c:strCache>
                <c:ptCount val="0"/>
              </c:strCache>
            </c:strRef>
          </c:cat>
          <c:val>
            <c:numRef>
              <c:f>'Synthese'!$E$26:$E$28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BNPE snapshot (m³)</c:v>
          </c:tx>
          <c:cat>
            <c:strRef>
              <c:f>'Synthese'!$D$26:$D$28</c:f>
              <c:strCache>
                <c:ptCount val="0"/>
              </c:strCache>
            </c:strRef>
          </c:cat>
          <c:val>
            <c:numRef>
              <c:f>'Synthese'!$F$26:$F$28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Prélèvements totaux BNPE — export fourni</a:t>
            </a:r>
          </a:p>
        </c:rich>
      </c:tx>
    </c:title>
    <c:plotArea>
      <c:lineChart>
        <c:grouping val="standard"/>
        <c:ser>
          <c:idx val="0"/>
          <c:order val="0"/>
          <c:tx>
            <c:v>Volume m³</c:v>
          </c:tx>
          <c:marker>
            <c:symbol val="none"/>
          </c:marker>
          <c:cat>
            <c:strRef>
              <c:f>'Evolution_temporelle'!$A$2:$A$4</c:f>
              <c:strCache>
                <c:ptCount val="0"/>
              </c:strCache>
            </c:strRef>
          </c:cat>
          <c:val>
            <c:numRef>
              <c:f>'Evolution_temporelle'!$B$2:$B$4</c:f>
              <c:numCache>
                <c:formatCode>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29</xdr:row>
      <xdr:rowOff>0</xdr:rowOff>
    </xdr:from>
    <xdr:to>
      <xdr:col>8</xdr:col>
      <xdr:colOff>0</xdr:colOff>
      <xdr:row>45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d7d16c9caee4e0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11</xdr:col>
      <xdr:colOff>0</xdr:colOff>
      <xdr:row>17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94f82f2a8f7415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ValidationBNPETable" displayName="ValidationBNPETable" ref="A1:L14" headerRowCount="1" totalsRowCount="0" totalsRowShown="0">
  <x:tableColumns count="12">
    <x:tableColumn id="1" name="ID"/>
    <x:tableColumn id="2" name="Indicateur"/>
    <x:tableColumn id="3" name="Page"/>
    <x:tableColumn id="4" name="Unité"/>
    <x:tableColumn id="5" name="Rapport ODE"/>
    <x:tableColumn id="6" name="BNPE"/>
    <x:tableColumn id="7" name="Écart"/>
    <x:tableColumn id="8" name="Écart relatif %"/>
    <x:tableColumn id="9" name="Statut"/>
    <x:tableColumn id="10" name="Politique source"/>
    <x:tableColumn id="11" name="Source recommandée"/>
    <x:tableColumn id="12" name="Commentai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sageTable" displayName="UsageTable" ref="A1:D4" headerRowCount="1" totalsRowCount="0" totalsRowShown="0">
  <x:tableColumns count="4">
    <x:tableColumn id="1" name="Année"/>
    <x:tableColumn id="2" name="Code usage"/>
    <x:tableColumn id="3" name="Volume m³"/>
    <x:tableColumn id="4" name="Part %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ypeWaterTable" displayName="TypeWaterTable" ref="A1:D3" headerRowCount="1" totalsRowCount="0" totalsRowShown="0">
  <x:tableColumns count="4">
    <x:tableColumn id="1" name="Année"/>
    <x:tableColumn id="2" name="Type eau"/>
    <x:tableColumn id="3" name="Volume m³"/>
    <x:tableColumn id="4" name="Part tous usages %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EPWorksTable" displayName="AEPWorksTable" ref="A1:L30" headerRowCount="1" totalsRowCount="0" totalsRowShown="0">
  <x:tableColumns count="12">
    <x:tableColumn id="1" name="Rang"/>
    <x:tableColumn id="2" name="Code ouvrage"/>
    <x:tableColumn id="3" name="Nom"/>
    <x:tableColumn id="4" name="Commune"/>
    <x:tableColumn id="5" name="Type eau"/>
    <x:tableColumn id="6" name="Volume m³"/>
    <x:tableColumn id="7" name="Part AEP %"/>
    <x:tableColumn id="8" name="Code cours d'eau"/>
    <x:tableColumn id="9" name="Code BSS"/>
    <x:tableColumn id="10" name="Précision localisation"/>
    <x:tableColumn id="11" name="Statut volume"/>
    <x:tableColumn id="12" name="Mode obten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emporalTable" displayName="TemporalTable" ref="A1:C4" headerRowCount="1" totalsRowCount="0" totalsRowShown="0">
  <x:tableColumns count="3">
    <x:tableColumn id="1" name="Année"/>
    <x:tableColumn id="2" name="Volume m³"/>
    <x:tableColumn id="3" name="Commentair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BNPEQualityTable" displayName="BNPEQualityTable" ref="A1:D3" headerRowCount="1" totalsRowCount="0" totalsRowShown="0">
  <x:tableColumns count="4">
    <x:tableColumn id="1" name="Année"/>
    <x:tableColumn id="2" name="Sévérité"/>
    <x:tableColumn id="3" name="Type"/>
    <x:tableColumn id="4" name="Messag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BNPESourcesTable" displayName="BNPESourcesTable" ref="A1:C9" headerRowCount="1" totalsRowCount="0" totalsRowShown="0">
  <x:tableColumns count="3">
    <x:tableColumn id="1" name="Élément"/>
    <x:tableColumn id="2" name="Valeur"/>
    <x:tableColumn id="3" name="Remarqu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BNPEWorkflowTable" displayName="BNPEWorkflowTable" ref="A1:F8" headerRowCount="1" totalsRowCount="0" totalsRowShown="0">
  <x:tableColumns count="6">
    <x:tableColumn id="1" name="Étape"/>
    <x:tableColumn id="2" name="Entrée"/>
    <x:tableColumn id="3" name="Traitement"/>
    <x:tableColumn id="4" name="Sortie"/>
    <x:tableColumn id="5" name="Contrôle"/>
    <x:tableColumn id="6" name="Automatis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bed38712cf649f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d8ea9ceb577462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8f69d64dc46418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49ad6200814432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7de84ae672e4b2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2.xml" Id="Re11d5d69d8814821" /><Relationship Type="http://schemas.openxmlformats.org/officeDocument/2006/relationships/table" Target="/xl/tables/table5.xml" Id="Re65f07bb0989403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a3be8bea7884d6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88e15b1feaf4b8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57ba22d4a8f4a3e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2" hidden="0" customWidth="1"/>
    <x:col min="3" max="3" width="4" hidden="0" customWidth="1"/>
    <x:col min="4" max="4" width="4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4" t="str">
        <x:v>Validation BNPE 2022 — Référentiel Eau &amp; Assainissement ODE Martinique</x:v>
      </x:c>
      <x:c r="B1" s="4"/>
      <x:c r="C1" s="4"/>
      <x:c r="D1" s="4"/>
      <x:c r="E1" s="4"/>
      <x:c r="F1" s="4"/>
      <x:c r="G1" s="4"/>
      <x:c r="H1" s="4"/>
    </x:row>
    <x:row r="3">
      <x:c r="A3" s="16" t="str">
        <x:v>Année de référence</x:v>
      </x:c>
      <x:c r="B3" s="17" t="n">
        <x:v>2022</x:v>
      </x:c>
      <x:c r="D3" s="25" t="str">
        <x:v>Indicateur</x:v>
      </x:c>
      <x:c r="E3" s="25" t="str">
        <x:v>Rapport ODE</x:v>
      </x:c>
      <x:c r="F3" s="25" t="str">
        <x:v>BNPE snapshot</x:v>
      </x:c>
      <x:c r="G3" s="25" t="str">
        <x:v>Écart</x:v>
      </x:c>
    </x:row>
    <x:row r="4">
      <x:c r="A4" s="16" t="str">
        <x:v>Total prélevé BNPE</x:v>
      </x:c>
      <x:c r="B4" s="18" t="n">
        <x:v>63317868</x:v>
      </x:c>
      <x:c r="D4" s="17" t="str">
        <x:v>Volume total prélevé tous usages</x:v>
      </x:c>
      <x:c r="E4" s="28" t="n">
        <x:v>63447442</x:v>
      </x:c>
      <x:c r="F4" s="28" t="n">
        <x:v>63317868</x:v>
      </x:c>
      <x:c r="G4" s="28" t="n">
        <x:v>-129574</x:v>
      </x:c>
    </x:row>
    <x:row r="5">
      <x:c r="A5" s="16" t="str">
        <x:v>AEP</x:v>
      </x:c>
      <x:c r="B5" s="18" t="n">
        <x:v>44771108</x:v>
      </x:c>
      <x:c r="D5" s="17" t="str">
        <x:v>Volume prélevé AEP</x:v>
      </x:c>
      <x:c r="E5" s="28" t="n">
        <x:v>44771108</x:v>
      </x:c>
      <x:c r="F5" s="28" t="n">
        <x:v>44771108</x:v>
      </x:c>
      <x:c r="G5" s="28" t="n">
        <x:v>0</x:v>
      </x:c>
    </x:row>
    <x:row r="6">
      <x:c r="A6" s="16" t="str">
        <x:v>Irrigation</x:v>
      </x:c>
      <x:c r="B6" s="18" t="n">
        <x:v>16332240</x:v>
      </x:c>
      <x:c r="D6" s="17" t="str">
        <x:v>Volume prélevé irrigation</x:v>
      </x:c>
      <x:c r="E6" s="28" t="n">
        <x:v>16458155</x:v>
      </x:c>
      <x:c r="F6" s="28" t="n">
        <x:v>16332240</x:v>
      </x:c>
      <x:c r="G6" s="28" t="n">
        <x:v>-125915</x:v>
      </x:c>
    </x:row>
    <x:row r="7">
      <x:c r="A7" s="16" t="str">
        <x:v>Industrie / autres</x:v>
      </x:c>
      <x:c r="B7" s="18" t="n">
        <x:v>2214520</x:v>
      </x:c>
      <x:c r="D7" s="17" t="str">
        <x:v>Volume prélevé autres/industrie</x:v>
      </x:c>
      <x:c r="E7" s="28" t="n">
        <x:v>2218179</x:v>
      </x:c>
      <x:c r="F7" s="28" t="n">
        <x:v>2214520</x:v>
      </x:c>
      <x:c r="G7" s="28" t="n">
        <x:v>-3659</x:v>
      </x:c>
    </x:row>
    <x:row r="8">
      <x:c r="A8" s="16" t="str">
        <x:v>Part AEP</x:v>
      </x:c>
      <x:c r="B8" s="19" t="n">
        <x:v>70.70848942671284</x:v>
      </x:c>
      <x:c r="D8" s="17" t="str">
        <x:v>Part AEP provenant des eaux de surface</x:v>
      </x:c>
      <x:c r="E8" s="28" t="n">
        <x:v>94</x:v>
      </x:c>
      <x:c r="F8" s="28" t="n">
        <x:v>94.60748882962646</x:v>
      </x:c>
      <x:c r="G8" s="28" t="n">
        <x:v>0.6074888296264618</x:v>
      </x:c>
    </x:row>
    <x:row r="9">
      <x:c r="A9" s="16" t="str">
        <x:v>Part AEP surface</x:v>
      </x:c>
      <x:c r="B9" s="19" t="n">
        <x:v>94.60748882962646</x:v>
      </x:c>
      <x:c r="D9" s="17" t="str">
        <x:v>Part AEP provenant des eaux souterraines</x:v>
      </x:c>
      <x:c r="E9" s="28" t="n">
        <x:v>6</x:v>
      </x:c>
      <x:c r="F9" s="28" t="n">
        <x:v>5.3925111703735364</x:v>
      </x:c>
      <x:c r="G9" s="28" t="n">
        <x:v>-0.6074888296264636</x:v>
      </x:c>
    </x:row>
    <x:row r="10">
      <x:c r="A10" s="16" t="str">
        <x:v>Part AEP souterraine</x:v>
      </x:c>
      <x:c r="B10" s="19" t="n">
        <x:v>5.3925111703735364</x:v>
      </x:c>
      <x:c r="D10" s="17" t="str">
        <x:v>Part AEP Lézarde + Rivière Blanche</x:v>
      </x:c>
      <x:c r="E10" s="28" t="n">
        <x:v>58</x:v>
      </x:c>
      <x:c r="F10" s="28" t="n">
        <x:v>57.751463287439755</x:v>
      </x:c>
      <x:c r="G10" s="28" t="n">
        <x:v>-0.24853671256024512</x:v>
      </x:c>
    </x:row>
    <x:row r="11">
      <x:c r="A11" s="16" t="str">
        <x:v>Part Lézarde + Blanche</x:v>
      </x:c>
      <x:c r="B11" s="19" t="n">
        <x:v>57.751463287439755</x:v>
      </x:c>
      <x:c r="D11" s="17" t="str">
        <x:v>Nombre total de captages AEP</x:v>
      </x:c>
      <x:c r="E11" s="28" t="n">
        <x:v>35</x:v>
      </x:c>
      <x:c r="F11" s="28" t="n">
        <x:v>29</x:v>
      </x:c>
      <x:c r="G11" s="28" t="n">
        <x:v>-6</x:v>
      </x:c>
    </x:row>
    <x:row r="12">
      <x:c r="A12" s="16" t="str">
        <x:v>Ouvrages AEP présents BNPE</x:v>
      </x:c>
      <x:c r="B12" s="17" t="n">
        <x:v>29</x:v>
      </x:c>
    </x:row>
    <x:row r="13">
      <x:c r="A13" s="16" t="str">
        <x:v>Lignes de prélèvement 2022</x:v>
      </x:c>
      <x:c r="B13" s="17" t="n">
        <x:v>127</x:v>
      </x:c>
    </x:row>
    <x:row r="14">
      <x:c r="D14" s="25"/>
      <x:c r="E14" s="25"/>
      <x:c r="F14" s="25"/>
      <x:c r="G14" s="25"/>
    </x:row>
    <x:row r="15">
      <x:c r="D15"/>
      <x:c r="E15"/>
      <x:c r="F15"/>
      <x:c r="G15"/>
    </x:row>
    <x:row r="16">
      <x:c r="A16" s="30" t="str">
        <x:v>Décisions méthodologiques</x:v>
      </x:c>
      <x:c r="B16" s="30"/>
      <x:c r="C16" s="30"/>
      <x:c r="D16" s="30"/>
      <x:c r="E16" s="30"/>
      <x:c r="F16" s="30"/>
      <x:c r="G16" s="30"/>
      <x:c r="H16" s="30"/>
    </x:row>
    <x:row r="17">
      <x:c r="A17" s="33" t="str">
        <x:v>BNPE est retenue comme source principale des volumes prélevés par usage et par ouvrage.</x:v>
      </x:c>
      <x:c r="B17" s="33"/>
      <x:c r="C17" s="33"/>
      <x:c r="D17" s="33"/>
      <x:c r="E17" s="33"/>
      <x:c r="F17" s="33"/>
      <x:c r="G17" s="33"/>
      <x:c r="H17" s="33"/>
    </x:row>
    <x:row r="18">
      <x:c r="A18" s="37" t="str">
        <x:v>Le volume AEP 2022 correspond exactement au rapport : 44 771 108 m³.</x:v>
      </x:c>
      <x:c r="B18" s="37"/>
      <x:c r="C18" s="37"/>
      <x:c r="D18" s="37"/>
      <x:c r="E18" s="37"/>
      <x:c r="F18" s="37"/>
      <x:c r="G18" s="37"/>
      <x:c r="H18" s="37"/>
    </x:row>
    <x:row r="19">
      <x:c r="A19" s="33" t="str">
        <x:v>Le snapshot actuel totalise 63 317 868 m³ contre 63 447 442 m³ dans le rapport ; l'écart provient de l'irrigation et de l'industrie.</x:v>
      </x:c>
      <x:c r="B19" s="33"/>
      <x:c r="C19" s="33"/>
      <x:c r="D19" s="33"/>
      <x:c r="E19" s="33"/>
      <x:c r="F19" s="33"/>
      <x:c r="G19" s="33"/>
      <x:c r="H19" s="33"/>
    </x:row>
    <x:row r="20">
      <x:c r="A20" s="37" t="str">
        <x:v>La part AEP surface/souterrain doit être recalculée sur les seules lignes AEP : 94,61 % / 5,39 %.</x:v>
      </x:c>
      <x:c r="B20" s="37"/>
      <x:c r="C20" s="37"/>
      <x:c r="D20" s="37"/>
      <x:c r="E20" s="37"/>
      <x:c r="F20" s="37"/>
      <x:c r="G20" s="37"/>
      <x:c r="H20" s="37"/>
    </x:row>
    <x:row r="21">
      <x:c r="A21" s="33" t="str">
        <x:v>Les trois ouvrages Blanche, Blanche Bouliki et Lézarde totalisent 57,75 % des prélèvements AEP, reproduisant le 58 % du rapport.</x:v>
      </x:c>
      <x:c r="B21" s="33"/>
      <x:c r="C21" s="33"/>
      <x:c r="D21" s="33"/>
      <x:c r="E21" s="33"/>
      <x:c r="F21" s="33"/>
      <x:c r="G21" s="33"/>
      <x:c r="H21" s="33"/>
    </x:row>
    <x:row r="22">
      <x:c r="A22" s="37" t="str">
        <x:v>BNPE ne doit pas servir seule à compter les captages : 29 ouvrages AEP sont présents contre 35 captages dans le rapport.</x:v>
      </x:c>
      <x:c r="B22" s="37"/>
      <x:c r="C22" s="37"/>
      <x:c r="D22" s="37"/>
      <x:c r="E22" s="37"/>
      <x:c r="F22" s="37"/>
      <x:c r="G22" s="37"/>
      <x:c r="H22" s="37"/>
    </x:row>
    <x:row r="23">
      <x:c r="A23" s="33" t="str">
        <x:v>Les coordonnées AEP de précision 5/6 sont des localisations approchées et ne doivent pas être cartographiées comme points exacts.</x:v>
      </x:c>
      <x:c r="B23" s="33"/>
      <x:c r="C23" s="33"/>
      <x:c r="D23" s="33"/>
      <x:c r="E23" s="33"/>
      <x:c r="F23" s="33"/>
      <x:c r="G23" s="33"/>
      <x:c r="H23" s="33"/>
    </x:row>
    <x:row r="25">
      <x:c r="D25" s="25" t="str">
        <x:v>Usage</x:v>
      </x:c>
      <x:c r="E25" s="25" t="str">
        <x:v>Rapport ODE (m³)</x:v>
      </x:c>
      <x:c r="F25" s="25" t="str">
        <x:v>BNPE snapshot (m³)</x:v>
      </x:c>
    </x:row>
    <x:row r="26">
      <x:c r="D26" t="str">
        <x:v>AEP</x:v>
      </x:c>
      <x:c r="E26" s="12" t="n">
        <x:v>44771108</x:v>
      </x:c>
      <x:c r="F26" s="12" t="n">
        <x:v>44771108</x:v>
      </x:c>
    </x:row>
    <x:row r="27">
      <x:c r="D27" t="str">
        <x:v>Irrigation</x:v>
      </x:c>
      <x:c r="E27" s="12" t="n">
        <x:v>16458155</x:v>
      </x:c>
      <x:c r="F27" s="12" t="n">
        <x:v>16332240</x:v>
      </x:c>
    </x:row>
    <x:row r="28">
      <x:c r="D28" t="str">
        <x:v>Industrie/autres</x:v>
      </x:c>
      <x:c r="E28" s="12" t="n">
        <x:v>2218179</x:v>
      </x:c>
      <x:c r="F28" s="12" t="n">
        <x:v>2214520</x:v>
      </x:c>
    </x:row>
  </x:sheetData>
  <x:mergeCells>
    <x:mergeCell ref="A1:H1"/>
    <x:mergeCell ref="A16:H16"/>
    <x:mergeCell ref="A17:H17"/>
    <x:mergeCell ref="A18:H18"/>
    <x:mergeCell ref="A19:H19"/>
    <x:mergeCell ref="A20:H20"/>
    <x:mergeCell ref="A21:H21"/>
    <x:mergeCell ref="A22:H22"/>
    <x:mergeCell ref="A23:H23"/>
  </x:mergeCells>
  <x:pageMargins left="0.7" right="0.7" top="0.75" bottom="0.75" header="0.3" footer="0.3"/>
  <x:drawing xmlns:r="http://schemas.openxmlformats.org/officeDocument/2006/relationships" r:id="R8bed38712cf649f2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0" hidden="0" customWidth="1"/>
    <x:col min="3" max="3" width="10" hidden="0" customWidth="1"/>
    <x:col min="4" max="4" width="1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8" hidden="0" customWidth="1"/>
    <x:col min="10" max="10" width="26" hidden="0" customWidth="1"/>
    <x:col min="11" max="11" width="24" hidden="0" customWidth="1"/>
    <x:col min="12" max="12" width="60" hidden="0" customWidth="1"/>
  </x:cols>
  <x:sheetData>
    <x:row r="1">
      <x:c r="A1" s="40" t="str">
        <x:v>ID</x:v>
      </x:c>
      <x:c r="B1" s="40" t="str">
        <x:v>Indicateur</x:v>
      </x:c>
      <x:c r="C1" s="40" t="str">
        <x:v>Page</x:v>
      </x:c>
      <x:c r="D1" s="40" t="str">
        <x:v>Unité</x:v>
      </x:c>
      <x:c r="E1" s="40" t="str">
        <x:v>Rapport ODE</x:v>
      </x:c>
      <x:c r="F1" s="40" t="str">
        <x:v>BNPE</x:v>
      </x:c>
      <x:c r="G1" s="40" t="str">
        <x:v>Écart</x:v>
      </x:c>
      <x:c r="H1" s="40" t="str">
        <x:v>Écart relatif %</x:v>
      </x:c>
      <x:c r="I1" s="40" t="str">
        <x:v>Statut</x:v>
      </x:c>
      <x:c r="J1" s="40" t="str">
        <x:v>Politique source</x:v>
      </x:c>
      <x:c r="K1" s="40" t="str">
        <x:v>Source recommandée</x:v>
      </x:c>
      <x:c r="L1" s="40" t="str">
        <x:v>Commentaire</x:v>
      </x:c>
    </x:row>
    <x:row r="2">
      <x:c r="A2" s="17" t="str">
        <x:v>RES_015</x:v>
      </x:c>
      <x:c r="B2" s="17" t="str">
        <x:v>Volume total prélevé tous usages</x:v>
      </x:c>
      <x:c r="C2" s="17" t="str">
        <x:v>12</x:v>
      </x:c>
      <x:c r="D2" s="17" t="str">
        <x:v>m3/an</x:v>
      </x:c>
      <x:c r="E2" s="17" t="n">
        <x:v>63447442</x:v>
      </x:c>
      <x:c r="F2" s="17" t="n">
        <x:v>63317868</x:v>
      </x:c>
      <x:c r="G2" s="17" t="n">
        <x:v>-129574</x:v>
      </x:c>
      <x:c r="H2" s="19" t="n">
        <x:v>-0.20422257527734528</x:v>
      </x:c>
      <x:c r="I2" s="17" t="str">
        <x:v>ECART_FAIBLE</x:v>
      </x:c>
      <x:c r="J2" s="17" t="str">
        <x:v>BNPE_PRIMARY</x:v>
      </x:c>
      <x:c r="K2" s="17" t="str">
        <x:v>BNPE</x:v>
      </x:c>
      <x:c r="L2" s="17" t="str">
        <x:v>Le snapshot BNPE actuel diffère du rapport historique ; conserver les deux versions avec date de snapshot.</x:v>
      </x:c>
    </x:row>
    <x:row r="3">
      <x:c r="A3" s="17" t="str">
        <x:v>RES_014</x:v>
      </x:c>
      <x:c r="B3" s="17" t="str">
        <x:v>Volume prélevé AEP</x:v>
      </x:c>
      <x:c r="C3" s="17" t="str">
        <x:v>8,12</x:v>
      </x:c>
      <x:c r="D3" s="17" t="str">
        <x:v>m3/an</x:v>
      </x:c>
      <x:c r="E3" s="17" t="n">
        <x:v>44771108</x:v>
      </x:c>
      <x:c r="F3" s="17" t="n">
        <x:v>44771108</x:v>
      </x:c>
      <x:c r="G3" s="17" t="n">
        <x:v>0</x:v>
      </x:c>
      <x:c r="H3" s="19" t="n">
        <x:v>0</x:v>
      </x:c>
      <x:c r="I3" s="17" t="str">
        <x:v>OK</x:v>
      </x:c>
      <x:c r="J3" s="17" t="str">
        <x:v>BNPE_PRIMARY</x:v>
      </x:c>
      <x:c r="K3" s="17" t="str">
        <x:v>BNPE</x:v>
      </x:c>
      <x:c r="L3" s="17" t="str"/>
    </x:row>
    <x:row r="4">
      <x:c r="A4" s="17" t="str">
        <x:v>RES_016</x:v>
      </x:c>
      <x:c r="B4" s="17" t="str">
        <x:v>Volume prélevé irrigation</x:v>
      </x:c>
      <x:c r="C4" s="17" t="str">
        <x:v>12</x:v>
      </x:c>
      <x:c r="D4" s="17" t="str">
        <x:v>m3/an</x:v>
      </x:c>
      <x:c r="E4" s="17" t="n">
        <x:v>16458155</x:v>
      </x:c>
      <x:c r="F4" s="17" t="n">
        <x:v>16332240</x:v>
      </x:c>
      <x:c r="G4" s="17" t="n">
        <x:v>-125915</x:v>
      </x:c>
      <x:c r="H4" s="19" t="n">
        <x:v>-0.765061454336771</x:v>
      </x:c>
      <x:c r="I4" s="17" t="str">
        <x:v>ECART_IMPORTANT</x:v>
      </x:c>
      <x:c r="J4" s="17" t="str">
        <x:v>BNPE_PRIMARY</x:v>
      </x:c>
      <x:c r="K4" s="17" t="str">
        <x:v>BNPE</x:v>
      </x:c>
      <x:c r="L4" s="17" t="str">
        <x:v>Le snapshot BNPE actuel diffère du rapport historique ; conserver les deux versions avec date de snapshot.</x:v>
      </x:c>
    </x:row>
    <x:row r="5">
      <x:c r="A5" s="17" t="str">
        <x:v>RES_017</x:v>
      </x:c>
      <x:c r="B5" s="17" t="str">
        <x:v>Volume prélevé autres/industrie</x:v>
      </x:c>
      <x:c r="C5" s="17" t="str">
        <x:v>12</x:v>
      </x:c>
      <x:c r="D5" s="17" t="str">
        <x:v>m3/an</x:v>
      </x:c>
      <x:c r="E5" s="17" t="n">
        <x:v>2218179</x:v>
      </x:c>
      <x:c r="F5" s="17" t="n">
        <x:v>2214520</x:v>
      </x:c>
      <x:c r="G5" s="17" t="n">
        <x:v>-3659</x:v>
      </x:c>
      <x:c r="H5" s="19" t="n">
        <x:v>-0.16495512760692443</x:v>
      </x:c>
      <x:c r="I5" s="17" t="str">
        <x:v>ECART_FAIBLE</x:v>
      </x:c>
      <x:c r="J5" s="17" t="str">
        <x:v>BNPE_PRIMARY</x:v>
      </x:c>
      <x:c r="K5" s="17" t="str">
        <x:v>BNPE</x:v>
      </x:c>
      <x:c r="L5" s="17" t="str">
        <x:v>Le snapshot BNPE actuel diffère du rapport historique ; conserver les deux versions avec date de snapshot.</x:v>
      </x:c>
    </x:row>
    <x:row r="6">
      <x:c r="A6" s="17" t="str">
        <x:v>RES_001</x:v>
      </x:c>
      <x:c r="B6" s="17" t="str">
        <x:v>Part AEP dans les prélèvements</x:v>
      </x:c>
      <x:c r="C6" s="17" t="str">
        <x:v>6</x:v>
      </x:c>
      <x:c r="D6" s="17" t="str">
        <x:v>%</x:v>
      </x:c>
      <x:c r="E6" s="17" t="n">
        <x:v>71</x:v>
      </x:c>
      <x:c r="F6" s="17" t="n">
        <x:v>70.70848942671284</x:v>
      </x:c>
      <x:c r="G6" s="17" t="n">
        <x:v>-0.29151057328715524</x:v>
      </x:c>
      <x:c r="H6" s="19" t="n">
        <x:v>-0.4105782722354299</x:v>
      </x:c>
      <x:c r="I6" s="17" t="str">
        <x:v>ECART_FAIBLE</x:v>
      </x:c>
      <x:c r="J6" s="17" t="str">
        <x:v>BNPE_PRIMARY</x:v>
      </x:c>
      <x:c r="K6" s="17" t="str">
        <x:v>BNPE</x:v>
      </x:c>
      <x:c r="L6" s="17" t="str"/>
    </x:row>
    <x:row r="7">
      <x:c r="A7" s="17" t="str">
        <x:v>RES_002</x:v>
      </x:c>
      <x:c r="B7" s="17" t="str">
        <x:v>Part irrigation dans les prélèvements</x:v>
      </x:c>
      <x:c r="C7" s="17" t="str">
        <x:v>6</x:v>
      </x:c>
      <x:c r="D7" s="17" t="str">
        <x:v>%</x:v>
      </x:c>
      <x:c r="E7" s="17" t="n">
        <x:v>26</x:v>
      </x:c>
      <x:c r="F7" s="17" t="n">
        <x:v>25.794046002938696</x:v>
      </x:c>
      <x:c r="G7" s="17" t="n">
        <x:v>-0.2059539970613038</x:v>
      </x:c>
      <x:c r="H7" s="19" t="n">
        <x:v>-0.7921307579280915</x:v>
      </x:c>
      <x:c r="I7" s="17" t="str">
        <x:v>ECART_FAIBLE</x:v>
      </x:c>
      <x:c r="J7" s="17" t="str">
        <x:v>BNPE_PRIMARY</x:v>
      </x:c>
      <x:c r="K7" s="17" t="str">
        <x:v>BNPE</x:v>
      </x:c>
      <x:c r="L7" s="17" t="str"/>
    </x:row>
    <x:row r="8">
      <x:c r="A8" s="17" t="str">
        <x:v>RES_003</x:v>
      </x:c>
      <x:c r="B8" s="17" t="str">
        <x:v>Part industrie/autres dans les prélèvements</x:v>
      </x:c>
      <x:c r="C8" s="17" t="str">
        <x:v>6</x:v>
      </x:c>
      <x:c r="D8" s="17" t="str">
        <x:v>%</x:v>
      </x:c>
      <x:c r="E8" s="17" t="n">
        <x:v>3</x:v>
      </x:c>
      <x:c r="F8" s="17" t="n">
        <x:v>3.497464570348452</x:v>
      </x:c>
      <x:c r="G8" s="17" t="n">
        <x:v>0.49746457034845193</x:v>
      </x:c>
      <x:c r="H8" s="19" t="n">
        <x:v>16.582152344948398</x:v>
      </x:c>
      <x:c r="I8" s="17" t="str">
        <x:v>ECART_FAIBLE</x:v>
      </x:c>
      <x:c r="J8" s="17" t="str">
        <x:v>BNPE_PRIMARY</x:v>
      </x:c>
      <x:c r="K8" s="17" t="str">
        <x:v>BNPE</x:v>
      </x:c>
      <x:c r="L8" s="17" t="str"/>
    </x:row>
    <x:row r="9">
      <x:c r="A9" s="17" t="str">
        <x:v>RES_004</x:v>
      </x:c>
      <x:c r="B9" s="17" t="str">
        <x:v>Part AEP provenant des eaux de surface</x:v>
      </x:c>
      <x:c r="C9" s="17" t="str">
        <x:v>6-7</x:v>
      </x:c>
      <x:c r="D9" s="17" t="str">
        <x:v>%</x:v>
      </x:c>
      <x:c r="E9" s="17" t="n">
        <x:v>94</x:v>
      </x:c>
      <x:c r="F9" s="17" t="n">
        <x:v>94.60748882962646</x:v>
      </x:c>
      <x:c r="G9" s="17" t="n">
        <x:v>0.6074888296264618</x:v>
      </x:c>
      <x:c r="H9" s="19" t="n">
        <x:v>0.6462647123685763</x:v>
      </x:c>
      <x:c r="I9" s="17" t="str">
        <x:v>ECART_FAIBLE</x:v>
      </x:c>
      <x:c r="J9" s="17" t="str">
        <x:v>BNPE_PRIMARY</x:v>
      </x:c>
      <x:c r="K9" s="17" t="str">
        <x:v>BNPE</x:v>
      </x:c>
      <x:c r="L9" s="17" t="str">
        <x:v>Part calculée uniquement sur les prélèvements AEP du détail BNPE, et non sur la synthèse tous usages.</x:v>
      </x:c>
    </x:row>
    <x:row r="10">
      <x:c r="A10" s="17" t="str">
        <x:v>RES_005</x:v>
      </x:c>
      <x:c r="B10" s="17" t="str">
        <x:v>Part AEP provenant des eaux souterraines</x:v>
      </x:c>
      <x:c r="C10" s="17" t="str">
        <x:v>7</x:v>
      </x:c>
      <x:c r="D10" s="17" t="str">
        <x:v>%</x:v>
      </x:c>
      <x:c r="E10" s="17" t="n">
        <x:v>6</x:v>
      </x:c>
      <x:c r="F10" s="17" t="n">
        <x:v>5.3925111703735364</x:v>
      </x:c>
      <x:c r="G10" s="17" t="n">
        <x:v>-0.6074888296264636</x:v>
      </x:c>
      <x:c r="H10" s="19" t="n">
        <x:v>-10.124813827107726</x:v>
      </x:c>
      <x:c r="I10" s="17" t="str">
        <x:v>ECART_FAIBLE</x:v>
      </x:c>
      <x:c r="J10" s="17" t="str">
        <x:v>BNPE_PRIMARY</x:v>
      </x:c>
      <x:c r="K10" s="17" t="str">
        <x:v>BNPE</x:v>
      </x:c>
      <x:c r="L10" s="17" t="str">
        <x:v>Part calculée uniquement sur les prélèvements AEP du détail BNPE, et non sur la synthèse tous usages.</x:v>
      </x:c>
    </x:row>
    <x:row r="11">
      <x:c r="A11" s="17" t="str">
        <x:v>RES_006</x:v>
      </x:c>
      <x:c r="B11" s="17" t="str">
        <x:v>Part AEP Lézarde + Rivière Blanche</x:v>
      </x:c>
      <x:c r="C11" s="17" t="str">
        <x:v>6</x:v>
      </x:c>
      <x:c r="D11" s="17" t="str">
        <x:v>%</x:v>
      </x:c>
      <x:c r="E11" s="17" t="n">
        <x:v>58</x:v>
      </x:c>
      <x:c r="F11" s="17" t="n">
        <x:v>57.751463287439755</x:v>
      </x:c>
      <x:c r="G11" s="17" t="n">
        <x:v>-0.24853671256024512</x:v>
      </x:c>
      <x:c r="H11" s="19" t="n">
        <x:v>-0.42851157337973295</x:v>
      </x:c>
      <x:c r="I11" s="17" t="str">
        <x:v>ECART_FAIBLE</x:v>
      </x:c>
      <x:c r="J11" s="17" t="str">
        <x:v>BNPE_PRIMARY</x:v>
      </x:c>
      <x:c r="K11" s="17" t="str">
        <x:v>BNPE</x:v>
      </x:c>
      <x:c r="L11" s="17" t="str">
        <x:v>Le système Lézarde + Rivière Blanche est défini par une liste versionnée de codes ouvrages dans config.json.</x:v>
      </x:c>
    </x:row>
    <x:row r="12">
      <x:c r="A12" s="17" t="str">
        <x:v>RES_007</x:v>
      </x:c>
      <x:c r="B12" s="17" t="str">
        <x:v>Nombre total de captages AEP</x:v>
      </x:c>
      <x:c r="C12" s="17" t="str">
        <x:v>7</x:v>
      </x:c>
      <x:c r="D12" s="17" t="str">
        <x:v>nb</x:v>
      </x:c>
      <x:c r="E12" s="17" t="n">
        <x:v>35</x:v>
      </x:c>
      <x:c r="F12" s="17" t="n">
        <x:v>29</x:v>
      </x:c>
      <x:c r="G12" s="17" t="n">
        <x:v>-6</x:v>
      </x:c>
      <x:c r="H12" s="19" t="n">
        <x:v>-17.142857142857142</x:v>
      </x:c>
      <x:c r="I12" s="17" t="str">
        <x:v>ECART_IMPORTANT</x:v>
      </x:c>
      <x:c r="J12" s="17" t="str">
        <x:v>INVENTORY_EXTERNAL_PRIMARY</x:v>
      </x:c>
      <x:c r="K12" s="17" t="str">
        <x:v>SISPEA / ODE / ARS</x:v>
      </x:c>
      <x:c r="L12" s="17" t="str">
        <x:v>La BNPE n'est pas un inventaire exhaustif des ouvrages ; utiliser le référentiel patrimonial pour les comptages.</x:v>
      </x:c>
    </x:row>
    <x:row r="13">
      <x:c r="A13" s="17" t="str">
        <x:v>RES_008</x:v>
      </x:c>
      <x:c r="B13" s="17" t="str">
        <x:v>Nombre de prises en rivière</x:v>
      </x:c>
      <x:c r="C13" s="17" t="str">
        <x:v>7</x:v>
      </x:c>
      <x:c r="D13" s="17" t="str">
        <x:v>nb</x:v>
      </x:c>
      <x:c r="E13" s="17" t="n">
        <x:v>20</x:v>
      </x:c>
      <x:c r="F13" s="17" t="n">
        <x:v>13</x:v>
      </x:c>
      <x:c r="G13" s="17" t="n">
        <x:v>-7</x:v>
      </x:c>
      <x:c r="H13" s="19" t="n">
        <x:v>-35</x:v>
      </x:c>
      <x:c r="I13" s="17" t="str">
        <x:v>ECART_IMPORTANT</x:v>
      </x:c>
      <x:c r="J13" s="17" t="str">
        <x:v>INVENTORY_EXTERNAL_PRIMARY</x:v>
      </x:c>
      <x:c r="K13" s="17" t="str">
        <x:v>SISPEA / ODE / ARS</x:v>
      </x:c>
      <x:c r="L13" s="17" t="str">
        <x:v>La BNPE n'est pas un inventaire exhaustif des ouvrages ; utiliser le référentiel patrimonial pour les comptages.</x:v>
      </x:c>
    </x:row>
    <x:row r="14">
      <x:c r="A14" s="17" t="str">
        <x:v>RES_009</x:v>
      </x:c>
      <x:c r="B14" s="17" t="str">
        <x:v>Nombre de captages souterrains</x:v>
      </x:c>
      <x:c r="C14" s="17" t="str">
        <x:v>7</x:v>
      </x:c>
      <x:c r="D14" s="17" t="str">
        <x:v>nb</x:v>
      </x:c>
      <x:c r="E14" s="17" t="n">
        <x:v>15</x:v>
      </x:c>
      <x:c r="F14" s="17" t="n">
        <x:v>16</x:v>
      </x:c>
      <x:c r="G14" s="17" t="n">
        <x:v>1</x:v>
      </x:c>
      <x:c r="H14" s="19" t="n">
        <x:v>6.666666666666667</x:v>
      </x:c>
      <x:c r="I14" s="17" t="str">
        <x:v>ECART_IMPORTANT</x:v>
      </x:c>
      <x:c r="J14" s="17" t="str">
        <x:v>INVENTORY_EXTERNAL_PRIMARY</x:v>
      </x:c>
      <x:c r="K14" s="17" t="str">
        <x:v>SISPEA / ODE / ARS</x:v>
      </x:c>
      <x:c r="L14" s="17" t="str">
        <x:v>La BNPE n'est pas un inventaire exhaustif des ouvrages ; utiliser le référentiel patrimonial pour les comptages.</x:v>
      </x:c>
    </x:row>
  </x:sheetData>
  <x:conditionalFormatting sqref="I2:I14">
    <x:cfRule type="expression" dxfId="0" priority="1">
      <x:formula>I2="OK"</x:formula>
    </x:cfRule>
    <x:cfRule type="expression" dxfId="1" priority="2">
      <x:formula>I2="ECART_FAIBLE"</x:formula>
    </x:cfRule>
    <x:cfRule type="expression" dxfId="2" priority="3">
      <x:formula>I2="ECART_IMPORTANT"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d8ea9ceb577462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4" hidden="0" customWidth="1"/>
  </x:cols>
  <x:sheetData>
    <x:row r="1">
      <x:c r="A1" s="25" t="str">
        <x:v>Année</x:v>
      </x:c>
      <x:c r="B1" s="25" t="str">
        <x:v>Code usage</x:v>
      </x:c>
      <x:c r="C1" s="25" t="str">
        <x:v>Volume m³</x:v>
      </x:c>
      <x:c r="D1" s="25" t="str">
        <x:v>Part %</x:v>
      </x:c>
    </x:row>
    <x:row r="2">
      <x:c r="A2" t="n">
        <x:v>2022</x:v>
      </x:c>
      <x:c r="B2" t="str">
        <x:v>AEP</x:v>
      </x:c>
      <x:c r="C2" s="12" t="n">
        <x:v>44771108</x:v>
      </x:c>
      <x:c r="D2" s="14" t="n">
        <x:v>70.70848942671284</x:v>
      </x:c>
    </x:row>
    <x:row r="3">
      <x:c r="A3" t="n">
        <x:v>2022</x:v>
      </x:c>
      <x:c r="B3" t="str">
        <x:v>IND</x:v>
      </x:c>
      <x:c r="C3" s="12" t="n">
        <x:v>2214520</x:v>
      </x:c>
      <x:c r="D3" s="14" t="n">
        <x:v>3.497464570348452</x:v>
      </x:c>
    </x:row>
    <x:row r="4">
      <x:c r="A4" t="n">
        <x:v>2022</x:v>
      </x:c>
      <x:c r="B4" t="str">
        <x:v>IRR</x:v>
      </x:c>
      <x:c r="C4" s="12" t="n">
        <x:v>16332240</x:v>
      </x:c>
      <x:c r="D4" s="14" t="n">
        <x:v>25.794046002938696</x:v>
      </x:c>
    </x:row>
  </x:sheetData>
  <x:pageMargins left="0.7" right="0.7" top="0.75" bottom="0.75" header="0.3" footer="0.3"/>
  <x:tableParts count="1">
    <x:tablePart xmlns:r="http://schemas.openxmlformats.org/officeDocument/2006/relationships" r:id="R08f69d64dc46418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8" hidden="0" customWidth="1"/>
    <x:col min="4" max="4" width="18" hidden="0" customWidth="1"/>
    <x:col min="5" max="5" width="4" hidden="0" customWidth="1"/>
    <x:col min="6" max="6" width="22" hidden="0" customWidth="1"/>
    <x:col min="7" max="7" width="18" hidden="0" customWidth="1"/>
    <x:col min="8" max="8" width="14" hidden="0" customWidth="1"/>
    <x:col min="9" max="9" width="34" hidden="0" customWidth="1"/>
  </x:cols>
  <x:sheetData>
    <x:row r="1">
      <x:c r="A1" s="25" t="str">
        <x:v>Année</x:v>
      </x:c>
      <x:c r="B1" s="25" t="str">
        <x:v>Type eau</x:v>
      </x:c>
      <x:c r="C1" s="25" t="str">
        <x:v>Volume m³</x:v>
      </x:c>
      <x:c r="D1" s="25" t="str">
        <x:v>Part tous usages %</x:v>
      </x:c>
      <x:c r="F1" s="30" t="str">
        <x:v>Périmètre AEP</x:v>
      </x:c>
      <x:c r="G1" s="30" t="str">
        <x:v>Volume m³</x:v>
      </x:c>
      <x:c r="H1" s="30" t="str">
        <x:v>Part %</x:v>
      </x:c>
      <x:c r="I1" s="30" t="str">
        <x:v>Règle</x:v>
      </x:c>
    </x:row>
    <x:row r="2">
      <x:c r="A2" t="n">
        <x:v>2022</x:v>
      </x:c>
      <x:c r="B2" t="str">
        <x:v>CONT</x:v>
      </x:c>
      <x:c r="C2" s="12" t="n">
        <x:v>60371897</x:v>
      </x:c>
      <x:c r="D2" s="14" t="n">
        <x:v>95.34733070923993</x:v>
      </x:c>
      <x:c r="F2" t="str">
        <x:v>Surface (CONT)</x:v>
      </x:c>
      <x:c r="G2" s="12" t="n">
        <x:v>42356821</x:v>
      </x:c>
      <x:c r="H2" s="14" t="n">
        <x:v>94.60748882962646</x:v>
      </x:c>
      <x:c r="I2" t="str">
        <x:v>Calcul sur lignes AEP uniquement</x:v>
      </x:c>
    </x:row>
    <x:row r="3">
      <x:c r="A3" t="n">
        <x:v>2022</x:v>
      </x:c>
      <x:c r="B3" t="str">
        <x:v>SOUT</x:v>
      </x:c>
      <x:c r="C3" s="12" t="n">
        <x:v>2945971</x:v>
      </x:c>
      <x:c r="D3" s="14" t="n">
        <x:v>4.652669290760074</x:v>
      </x:c>
      <x:c r="F3" t="str">
        <x:v>Souterrain (SOUT)</x:v>
      </x:c>
      <x:c r="G3" s="12" t="n">
        <x:v>2414287</x:v>
      </x:c>
      <x:c r="H3" s="14" t="n">
        <x:v>5.3925111703735364</x:v>
      </x:c>
      <x:c r="I3" t="str">
        <x:v>Calcul sur lignes AEP uniquement</x:v>
      </x:c>
    </x:row>
  </x:sheetData>
  <x:pageMargins left="0.7" right="0.7" top="0.75" bottom="0.75" header="0.3" footer="0.3"/>
  <x:tableParts count="1">
    <x:tablePart xmlns:r="http://schemas.openxmlformats.org/officeDocument/2006/relationships" r:id="R749ad6200814432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0" hidden="0" customWidth="1"/>
    <x:col min="3" max="3" width="30" hidden="0" customWidth="1"/>
    <x:col min="4" max="4" width="20" hidden="0" customWidth="1"/>
    <x:col min="5" max="5" width="12" hidden="0" customWidth="1"/>
    <x:col min="6" max="6" width="18" hidden="0" customWidth="1"/>
    <x:col min="7" max="7" width="14" hidden="0" customWidth="1"/>
    <x:col min="8" max="8" width="20" hidden="0" customWidth="1"/>
    <x:col min="9" max="9" width="18" hidden="0" customWidth="1"/>
    <x:col min="10" max="10" width="18" hidden="0" customWidth="1"/>
    <x:col min="11" max="11" width="22" hidden="0" customWidth="1"/>
    <x:col min="12" max="12" width="18" hidden="0" customWidth="1"/>
  </x:cols>
  <x:sheetData>
    <x:row r="1">
      <x:c r="A1" s="40" t="str">
        <x:v>Rang</x:v>
      </x:c>
      <x:c r="B1" s="40" t="str">
        <x:v>Code ouvrage</x:v>
      </x:c>
      <x:c r="C1" s="40" t="str">
        <x:v>Nom</x:v>
      </x:c>
      <x:c r="D1" s="40" t="str">
        <x:v>Commune</x:v>
      </x:c>
      <x:c r="E1" s="40" t="str">
        <x:v>Type eau</x:v>
      </x:c>
      <x:c r="F1" s="40" t="str">
        <x:v>Volume m³</x:v>
      </x:c>
      <x:c r="G1" s="40" t="str">
        <x:v>Part AEP %</x:v>
      </x:c>
      <x:c r="H1" s="40" t="str">
        <x:v>Code cours d'eau</x:v>
      </x:c>
      <x:c r="I1" s="40" t="str">
        <x:v>Code BSS</x:v>
      </x:c>
      <x:c r="J1" s="40" t="str">
        <x:v>Précision localisation</x:v>
      </x:c>
      <x:c r="K1" s="40" t="str">
        <x:v>Statut volume</x:v>
      </x:c>
      <x:c r="L1" s="40" t="str">
        <x:v>Mode obtention</x:v>
      </x:c>
    </x:row>
    <x:row r="2">
      <x:c r="A2" t="n">
        <x:v>1</x:v>
      </x:c>
      <x:c r="B2" t="str">
        <x:v>OPR0000276733</x:v>
      </x:c>
      <x:c r="C2" t="str">
        <x:v>Blanche</x:v>
      </x:c>
      <x:c r="D2" t="str">
        <x:v>SAINT-JOSEPH</x:v>
      </x:c>
      <x:c r="E2" t="str">
        <x:v>CONT</x:v>
      </x:c>
      <x:c r="F2" s="12" t="n">
        <x:v>10176421</x:v>
      </x:c>
      <x:c r="G2" s="14" t="n">
        <x:v>22.729884192278647</x:v>
      </x:c>
      <x:c r="H2" t="str">
        <x:v>25121080</x:v>
      </x:c>
      <x:c r="I2" t="str"/>
      <x:c r="J2" t="str">
        <x:v>5</x:v>
      </x:c>
      <x:c r="K2" t="str">
        <x:v>Contrôlé Niveau 1</x:v>
      </x:c>
      <x:c r="L2" t="str">
        <x:v>MES</x:v>
      </x:c>
    </x:row>
    <x:row r="3">
      <x:c r="A3" t="n">
        <x:v>2</x:v>
      </x:c>
      <x:c r="B3" t="str">
        <x:v>OPR0000276729</x:v>
      </x:c>
      <x:c r="C3" t="str">
        <x:v>Blanche Bouliki</x:v>
      </x:c>
      <x:c r="D3" t="str">
        <x:v>SAINT-JOSEPH</x:v>
      </x:c>
      <x:c r="E3" t="str">
        <x:v>CONT</x:v>
      </x:c>
      <x:c r="F3" s="12" t="n">
        <x:v>9397698</x:v>
      </x:c>
      <x:c r="G3" s="14" t="n">
        <x:v>20.990541489390882</x:v>
      </x:c>
      <x:c r="H3" t="str">
        <x:v>25121080</x:v>
      </x:c>
      <x:c r="I3" t="str"/>
      <x:c r="J3" t="str">
        <x:v>5</x:v>
      </x:c>
      <x:c r="K3" t="str">
        <x:v>Contrôlé Niveau 1</x:v>
      </x:c>
      <x:c r="L3" t="str">
        <x:v>MES</x:v>
      </x:c>
    </x:row>
    <x:row r="4">
      <x:c r="A4" t="n">
        <x:v>3</x:v>
      </x:c>
      <x:c r="B4" t="str">
        <x:v>OPR0000276713</x:v>
      </x:c>
      <x:c r="C4" t="str">
        <x:v>Capot</x:v>
      </x:c>
      <x:c r="D4" t="str">
        <x:v>LORRAIN</x:v>
      </x:c>
      <x:c r="E4" t="str">
        <x:v>CONT</x:v>
      </x:c>
      <x:c r="F4" s="12" t="n">
        <x:v>6892286</x:v>
      </x:c>
      <x:c r="G4" s="14" t="n">
        <x:v>15.394495039077432</x:v>
      </x:c>
      <x:c r="H4" t="str">
        <x:v>21150560</x:v>
      </x:c>
      <x:c r="I4" t="str"/>
      <x:c r="J4" t="str">
        <x:v>5</x:v>
      </x:c>
      <x:c r="K4" t="str">
        <x:v>Contrôlé Niveau 1</x:v>
      </x:c>
      <x:c r="L4" t="str">
        <x:v>MES</x:v>
      </x:c>
    </x:row>
    <x:row r="5">
      <x:c r="A5" t="n">
        <x:v>4</x:v>
      </x:c>
      <x:c r="B5" t="str">
        <x:v>OPR0000276728</x:v>
      </x:c>
      <x:c r="C5" t="str">
        <x:v>Absalon 1</x:v>
      </x:c>
      <x:c r="D5" t="str">
        <x:v>FORT-DE-FRANCE</x:v>
      </x:c>
      <x:c r="E5" t="str">
        <x:v>CONT</x:v>
      </x:c>
      <x:c r="F5" s="12" t="n">
        <x:v>6459801</x:v>
      </x:c>
      <x:c r="G5" s="14" t="n">
        <x:v>14.42850375737853</x:v>
      </x:c>
      <x:c r="H5" t="str">
        <x:v>23010580</x:v>
      </x:c>
      <x:c r="I5" t="str"/>
      <x:c r="J5" t="str">
        <x:v>5</x:v>
      </x:c>
      <x:c r="K5" t="str">
        <x:v>Contrôlé Niveau 1</x:v>
      </x:c>
      <x:c r="L5" t="str">
        <x:v>EST</x:v>
      </x:c>
    </x:row>
    <x:row r="6">
      <x:c r="A6" t="n">
        <x:v>5</x:v>
      </x:c>
      <x:c r="B6" t="str">
        <x:v>OPR0000276714</x:v>
      </x:c>
      <x:c r="C6" t="str">
        <x:v>Lézarde</x:v>
      </x:c>
      <x:c r="D6" t="str">
        <x:v>GROS-MORNE</x:v>
      </x:c>
      <x:c r="E6" t="str">
        <x:v>CONT</x:v>
      </x:c>
      <x:c r="F6" s="12" t="n">
        <x:v>6281851</x:v>
      </x:c>
      <x:c r="G6" s="14" t="n">
        <x:v>14.031037605770221</x:v>
      </x:c>
      <x:c r="H6" t="str">
        <x:v>25031480</x:v>
      </x:c>
      <x:c r="I6" t="str"/>
      <x:c r="J6" t="str">
        <x:v>5</x:v>
      </x:c>
      <x:c r="K6" t="str">
        <x:v>Contrôlé Niveau 1</x:v>
      </x:c>
      <x:c r="L6" t="str">
        <x:v>EST</x:v>
      </x:c>
    </x:row>
    <x:row r="7">
      <x:c r="A7" t="n">
        <x:v>6</x:v>
      </x:c>
      <x:c r="B7" t="str">
        <x:v>OPR0000276718</x:v>
      </x:c>
      <x:c r="C7" t="str">
        <x:v>Galion Bras Gommier</x:v>
      </x:c>
      <x:c r="D7" t="str">
        <x:v>GROS-MORNE</x:v>
      </x:c>
      <x:c r="E7" t="str">
        <x:v>CONT</x:v>
      </x:c>
      <x:c r="F7" s="12" t="n">
        <x:v>1390202</x:v>
      </x:c>
      <x:c r="G7" s="14" t="n">
        <x:v>3.105131997179967</x:v>
      </x:c>
      <x:c r="H7" t="str">
        <x:v>22211630</x:v>
      </x:c>
      <x:c r="I7" t="str"/>
      <x:c r="J7" t="str">
        <x:v>5</x:v>
      </x:c>
      <x:c r="K7" t="str">
        <x:v>Contrôlé Niveau 1</x:v>
      </x:c>
      <x:c r="L7" t="str">
        <x:v>MES</x:v>
      </x:c>
    </x:row>
    <x:row r="8">
      <x:c r="A8" t="n">
        <x:v>7</x:v>
      </x:c>
      <x:c r="B8" t="str">
        <x:v>OPR0000276720</x:v>
      </x:c>
      <x:c r="C8" t="str">
        <x:v>Lorrain</x:v>
      </x:c>
      <x:c r="D8" t="str">
        <x:v>LORRAIN</x:v>
      </x:c>
      <x:c r="E8" t="str">
        <x:v>CONT</x:v>
      </x:c>
      <x:c r="F8" s="12" t="n">
        <x:v>1291368</x:v>
      </x:c>
      <x:c r="G8" s="14" t="n">
        <x:v>2.8843780234342202</x:v>
      </x:c>
      <x:c r="H8" t="str">
        <x:v>22051300</x:v>
      </x:c>
      <x:c r="I8" t="str"/>
      <x:c r="J8" t="str">
        <x:v>5</x:v>
      </x:c>
      <x:c r="K8" t="str">
        <x:v>Contrôlé Niveau 1</x:v>
      </x:c>
      <x:c r="L8" t="str">
        <x:v>MES</x:v>
      </x:c>
    </x:row>
    <x:row r="9">
      <x:c r="A9" t="n">
        <x:v>8</x:v>
      </x:c>
      <x:c r="B9" t="str">
        <x:v>OPR0000276737</x:v>
      </x:c>
      <x:c r="C9" t="str">
        <x:v>Morestin</x:v>
      </x:c>
      <x:c r="D9" t="str">
        <x:v>MORNE-ROUGE</x:v>
      </x:c>
      <x:c r="E9" t="str">
        <x:v>SOUT</x:v>
      </x:c>
      <x:c r="F9" s="12" t="n">
        <x:v>1189758</x:v>
      </x:c>
      <x:c r="G9" s="14" t="n">
        <x:v>2.65742362239505</x:v>
      </x:c>
      <x:c r="H9" t="str"/>
      <x:c r="I9" t="str">
        <x:v>1168ZZ0053</x:v>
      </x:c>
      <x:c r="J9" t="str">
        <x:v>5</x:v>
      </x:c>
      <x:c r="K9" t="str">
        <x:v>Contrôlé Niveau 1</x:v>
      </x:c>
      <x:c r="L9" t="str">
        <x:v>MES</x:v>
      </x:c>
    </x:row>
    <x:row r="10">
      <x:c r="A10" t="n">
        <x:v>9</x:v>
      </x:c>
      <x:c r="B10" t="str">
        <x:v>OPR0000276736</x:v>
      </x:c>
      <x:c r="C10" t="str">
        <x:v>Attila</x:v>
      </x:c>
      <x:c r="D10" t="str">
        <x:v>MORNE-VERT</x:v>
      </x:c>
      <x:c r="E10" t="str">
        <x:v>SOUT</x:v>
      </x:c>
      <x:c r="F10" s="12" t="n">
        <x:v>250351</x:v>
      </x:c>
      <x:c r="G10" s="14" t="n">
        <x:v>0.5591798174840792</x:v>
      </x:c>
      <x:c r="H10" t="str"/>
      <x:c r="I10" t="str">
        <x:v>1173ZZ0068</x:v>
      </x:c>
      <x:c r="J10" t="str">
        <x:v>5</x:v>
      </x:c>
      <x:c r="K10" t="str">
        <x:v>Contrôlé Niveau 1</x:v>
      </x:c>
      <x:c r="L10" t="str">
        <x:v>MES</x:v>
      </x:c>
    </x:row>
    <x:row r="11">
      <x:c r="A11" t="n">
        <x:v>10</x:v>
      </x:c>
      <x:c r="B11" t="str">
        <x:v>OPR0000276725</x:v>
      </x:c>
      <x:c r="C11" t="str">
        <x:v>Montagne Pelée 1 Pécoul FR3</x:v>
      </x:c>
      <x:c r="D11" t="str">
        <x:v>AJOUPA-BOUILLON</x:v>
      </x:c>
      <x:c r="E11" t="str">
        <x:v>SOUT</x:v>
      </x:c>
      <x:c r="F11" s="12" t="n">
        <x:v>227633</x:v>
      </x:c>
      <x:c r="G11" s="14" t="n">
        <x:v>0.5084372716440254</x:v>
      </x:c>
      <x:c r="H11" t="str"/>
      <x:c r="I11" t="str">
        <x:v>1168ZZ0051</x:v>
      </x:c>
      <x:c r="J11" t="str">
        <x:v>5</x:v>
      </x:c>
      <x:c r="K11" t="str">
        <x:v>Contrôlé Niveau 1</x:v>
      </x:c>
      <x:c r="L11" t="str">
        <x:v>MES</x:v>
      </x:c>
    </x:row>
    <x:row r="12">
      <x:c r="A12" t="n">
        <x:v>11</x:v>
      </x:c>
      <x:c r="B12" t="str">
        <x:v>OPR0000276734</x:v>
      </x:c>
      <x:c r="C12" t="str">
        <x:v>Urion</x:v>
      </x:c>
      <x:c r="D12" t="str">
        <x:v>MORNE-VERT</x:v>
      </x:c>
      <x:c r="E12" t="str">
        <x:v>CONT</x:v>
      </x:c>
      <x:c r="F12" s="12" t="n">
        <x:v>208047</x:v>
      </x:c>
      <x:c r="G12" s="14" t="n">
        <x:v>0.4646903087589434</x:v>
      </x:c>
      <x:c r="H12" t="str">
        <x:v>23160850</x:v>
      </x:c>
      <x:c r="I12" t="str"/>
      <x:c r="J12" t="str">
        <x:v>5</x:v>
      </x:c>
      <x:c r="K12" t="str">
        <x:v>Contrôlé Niveau 1</x:v>
      </x:c>
      <x:c r="L12" t="str">
        <x:v>MES</x:v>
      </x:c>
    </x:row>
    <x:row r="13">
      <x:c r="A13" t="n">
        <x:v>12</x:v>
      </x:c>
      <x:c r="B13" t="str">
        <x:v>OPR0000276716</x:v>
      </x:c>
      <x:c r="C13" t="str">
        <x:v>Calvaire</x:v>
      </x:c>
      <x:c r="D13" t="str">
        <x:v>GROS-MORNE</x:v>
      </x:c>
      <x:c r="E13" t="str">
        <x:v>CONT</x:v>
      </x:c>
      <x:c r="F13" s="12" t="n">
        <x:v>149509</x:v>
      </x:c>
      <x:c r="G13" s="14" t="n">
        <x:v>0.33394080843386764</x:v>
      </x:c>
      <x:c r="H13" t="str">
        <x:v>22211630</x:v>
      </x:c>
      <x:c r="I13" t="str"/>
      <x:c r="J13" t="str">
        <x:v>5</x:v>
      </x:c>
      <x:c r="K13" t="str">
        <x:v>Contrôlé Niveau 1</x:v>
      </x:c>
      <x:c r="L13" t="str">
        <x:v>MES</x:v>
      </x:c>
    </x:row>
    <x:row r="14">
      <x:c r="A14" t="n">
        <x:v>13</x:v>
      </x:c>
      <x:c r="B14" t="str">
        <x:v>OPR0000276721</x:v>
      </x:c>
      <x:c r="C14" t="str">
        <x:v>Essente</x:v>
      </x:c>
      <x:c r="D14" t="str">
        <x:v>SAINT-PIERRE</x:v>
      </x:c>
      <x:c r="E14" t="str">
        <x:v>SOUT</x:v>
      </x:c>
      <x:c r="F14" s="12" t="n">
        <x:v>140324</x:v>
      </x:c>
      <x:c r="G14" s="14" t="n">
        <x:v>0.3134253456492522</x:v>
      </x:c>
      <x:c r="H14" t="str"/>
      <x:c r="I14" t="str">
        <x:v>1168ZZ0050</x:v>
      </x:c>
      <x:c r="J14" t="str">
        <x:v>5</x:v>
      </x:c>
      <x:c r="K14" t="str">
        <x:v>Contrôlé Niveau 1</x:v>
      </x:c>
      <x:c r="L14" t="str">
        <x:v>MES</x:v>
      </x:c>
    </x:row>
    <x:row r="15">
      <x:c r="A15" t="n">
        <x:v>14</x:v>
      </x:c>
      <x:c r="B15" t="str">
        <x:v>OPR0000276727</x:v>
      </x:c>
      <x:c r="C15" t="str">
        <x:v>Piton Gelé</x:v>
      </x:c>
      <x:c r="D15" t="str">
        <x:v>MORNE-ROUGE</x:v>
      </x:c>
      <x:c r="E15" t="str">
        <x:v>SOUT</x:v>
      </x:c>
      <x:c r="F15" s="12" t="n">
        <x:v>128469</x:v>
      </x:c>
      <x:c r="G15" s="14" t="n">
        <x:v>0.2869462154030229</x:v>
      </x:c>
      <x:c r="H15" t="str"/>
      <x:c r="I15" t="str">
        <x:v>1173ZZ0065</x:v>
      </x:c>
      <x:c r="J15" t="str">
        <x:v>5</x:v>
      </x:c>
      <x:c r="K15" t="str">
        <x:v>Contrôlé Niveau 1</x:v>
      </x:c>
      <x:c r="L15" t="str">
        <x:v>MES</x:v>
      </x:c>
    </x:row>
    <x:row r="16">
      <x:c r="A16" t="n">
        <x:v>15</x:v>
      </x:c>
      <x:c r="B16" t="str">
        <x:v>OPR0000276738</x:v>
      </x:c>
      <x:c r="C16" t="str">
        <x:v>Yang Ting</x:v>
      </x:c>
      <x:c r="D16" t="str">
        <x:v>FONDS-SAINT-DENIS</x:v>
      </x:c>
      <x:c r="E16" t="str">
        <x:v>SOUT</x:v>
      </x:c>
      <x:c r="F16" s="12" t="n">
        <x:v>108132</x:v>
      </x:c>
      <x:c r="G16" s="14" t="n">
        <x:v>0.24152183144540446</x:v>
      </x:c>
      <x:c r="H16" t="str"/>
      <x:c r="I16" t="str">
        <x:v>1173ZZ0062</x:v>
      </x:c>
      <x:c r="J16" t="str">
        <x:v>5</x:v>
      </x:c>
      <x:c r="K16" t="str">
        <x:v>Contrôlé Niveau 1</x:v>
      </x:c>
      <x:c r="L16" t="str">
        <x:v>MES</x:v>
      </x:c>
    </x:row>
    <x:row r="17">
      <x:c r="A17" t="n">
        <x:v>16</x:v>
      </x:c>
      <x:c r="B17" t="str">
        <x:v>OPR0000276722</x:v>
      </x:c>
      <x:c r="C17" t="str">
        <x:v>Fonds Les Sources</x:v>
      </x:c>
      <x:c r="D17" t="str">
        <x:v>AJOUPA-BOUILLON</x:v>
      </x:c>
      <x:c r="E17" t="str">
        <x:v>SOUT</x:v>
      </x:c>
      <x:c r="F17" s="12" t="n">
        <x:v>104564</x:v>
      </x:c>
      <x:c r="G17" s="14" t="n">
        <x:v>0.23355240616336767</x:v>
      </x:c>
      <x:c r="H17" t="str"/>
      <x:c r="I17" t="str">
        <x:v>1168ZZ0046</x:v>
      </x:c>
      <x:c r="J17" t="str">
        <x:v>5</x:v>
      </x:c>
      <x:c r="K17" t="str">
        <x:v>Contrôlé Niveau 1</x:v>
      </x:c>
      <x:c r="L17" t="str">
        <x:v>MES</x:v>
      </x:c>
    </x:row>
    <x:row r="18">
      <x:c r="A18" t="n">
        <x:v>17</x:v>
      </x:c>
      <x:c r="B18" t="str">
        <x:v>OPR0000276715</x:v>
      </x:c>
      <x:c r="C18" t="str">
        <x:v>Demare</x:v>
      </x:c>
      <x:c r="D18" t="str">
        <x:v>BASSE-POINTE</x:v>
      </x:c>
      <x:c r="E18" t="str">
        <x:v>SOUT</x:v>
      </x:c>
      <x:c r="F18" s="12" t="n">
        <x:v>85793</x:v>
      </x:c>
      <x:c r="G18" s="14" t="n">
        <x:v>0.19162581368323517</x:v>
      </x:c>
      <x:c r="H18" t="str"/>
      <x:c r="I18" t="str">
        <x:v>1168ZZ0048</x:v>
      </x:c>
      <x:c r="J18" t="str">
        <x:v>5</x:v>
      </x:c>
      <x:c r="K18" t="str">
        <x:v>Contrôlé Niveau 1</x:v>
      </x:c>
      <x:c r="L18" t="str">
        <x:v>MES</x:v>
      </x:c>
    </x:row>
    <x:row r="19">
      <x:c r="A19" t="n">
        <x:v>18</x:v>
      </x:c>
      <x:c r="B19" t="str">
        <x:v>OPR0000276726</x:v>
      </x:c>
      <x:c r="C19" t="str">
        <x:v>Montagne Pelée 2</x:v>
      </x:c>
      <x:c r="D19" t="str">
        <x:v>AJOUPA-BOUILLON</x:v>
      </x:c>
      <x:c r="E19" t="str">
        <x:v>SOUT</x:v>
      </x:c>
      <x:c r="F19" s="12" t="n">
        <x:v>77134</x:v>
      </x:c>
      <x:c r="G19" s="14" t="n">
        <x:v>0.17228521572439082</x:v>
      </x:c>
      <x:c r="H19" t="str"/>
      <x:c r="I19" t="str">
        <x:v>1168ZZ0051</x:v>
      </x:c>
      <x:c r="J19" t="str">
        <x:v>5</x:v>
      </x:c>
      <x:c r="K19" t="str">
        <x:v>Contrôlé Niveau 1</x:v>
      </x:c>
      <x:c r="L19" t="str">
        <x:v>MES</x:v>
      </x:c>
    </x:row>
    <x:row r="20">
      <x:c r="A20" t="n">
        <x:v>19</x:v>
      </x:c>
      <x:c r="B20" t="str">
        <x:v>OPR0000612760</x:v>
      </x:c>
      <x:c r="C20" t="str">
        <x:v>Forage Bouliki</x:v>
      </x:c>
      <x:c r="D20" t="str">
        <x:v>SAINT-JOSEPH</x:v>
      </x:c>
      <x:c r="E20" t="str">
        <x:v>SOUT</x:v>
      </x:c>
      <x:c r="F20" s="12" t="n">
        <x:v>52553</x:v>
      </x:c>
      <x:c r="G20" s="14" t="n">
        <x:v>0.11738150416112104</x:v>
      </x:c>
      <x:c r="H20" t="str"/>
      <x:c r="I20" t="str">
        <x:v>BSS003IUOK</x:v>
      </x:c>
      <x:c r="J20" t="str">
        <x:v>5</x:v>
      </x:c>
      <x:c r="K20" t="str">
        <x:v>Contrôlé Niveau 1</x:v>
      </x:c>
      <x:c r="L20" t="str">
        <x:v>EST</x:v>
      </x:c>
    </x:row>
    <x:row r="21">
      <x:c r="A21" t="n">
        <x:v>20</x:v>
      </x:c>
      <x:c r="B21" t="str">
        <x:v>OPR0000612759</x:v>
      </x:c>
      <x:c r="C21" t="str">
        <x:v>Forage Schoelcher</x:v>
      </x:c>
      <x:c r="D21" t="str">
        <x:v>SCHLCHER</x:v>
      </x:c>
      <x:c r="E21" t="str">
        <x:v>SOUT</x:v>
      </x:c>
      <x:c r="F21" s="12" t="n">
        <x:v>49576</x:v>
      </x:c>
      <x:c r="G21" s="14" t="n">
        <x:v>0.11073212662058754</x:v>
      </x:c>
      <x:c r="H21" t="str"/>
      <x:c r="I21" t="str">
        <x:v>1177ZZ0178</x:v>
      </x:c>
      <x:c r="J21" t="str">
        <x:v>5</x:v>
      </x:c>
      <x:c r="K21" t="str">
        <x:v>Contrôlé Niveau 1</x:v>
      </x:c>
      <x:c r="L21" t="str">
        <x:v>EST</x:v>
      </x:c>
    </x:row>
    <x:row r="22">
      <x:c r="A22" t="n">
        <x:v>21</x:v>
      </x:c>
      <x:c r="B22" t="str">
        <x:v>OPR0000276735</x:v>
      </x:c>
      <x:c r="C22" t="str">
        <x:v>Verrier</x:v>
      </x:c>
      <x:c r="D22" t="str">
        <x:v>MORNE-VERT</x:v>
      </x:c>
      <x:c r="E22" t="str">
        <x:v>CONT</x:v>
      </x:c>
      <x:c r="F22" s="12" t="n">
        <x:v>49492</x:v>
      </x:c>
      <x:c r="G22" s="14" t="n">
        <x:v>0.1105445056217952</x:v>
      </x:c>
      <x:c r="H22" t="str">
        <x:v>23160750</x:v>
      </x:c>
      <x:c r="I22" t="str"/>
      <x:c r="J22" t="str">
        <x:v>5</x:v>
      </x:c>
      <x:c r="K22" t="str">
        <x:v>Contrôlé Niveau 1</x:v>
      </x:c>
      <x:c r="L22" t="str">
        <x:v>MES</x:v>
      </x:c>
    </x:row>
    <x:row r="23">
      <x:c r="A23" t="n">
        <x:v>22</x:v>
      </x:c>
      <x:c r="B23" t="str">
        <x:v>OPR0000276719</x:v>
      </x:c>
      <x:c r="C23" t="str">
        <x:v>Grand'Rivière</x:v>
      </x:c>
      <x:c r="D23" t="str">
        <x:v>GRAND'RIVIERE</x:v>
      </x:c>
      <x:c r="E23" t="str">
        <x:v>CONT</x:v>
      </x:c>
      <x:c r="F23" s="12" t="n">
        <x:v>48243</x:v>
      </x:c>
      <x:c r="G23" s="14" t="n">
        <x:v>0.10775476005641853</x:v>
      </x:c>
      <x:c r="H23" t="str">
        <x:v>21010860</x:v>
      </x:c>
      <x:c r="I23" t="str"/>
      <x:c r="J23" t="str">
        <x:v>5</x:v>
      </x:c>
      <x:c r="K23" t="str">
        <x:v>Contrôlé Niveau 1</x:v>
      </x:c>
      <x:c r="L23" t="str">
        <x:v>MES</x:v>
      </x:c>
    </x:row>
    <x:row r="24">
      <x:c r="A24" t="n">
        <x:v>23</x:v>
      </x:c>
      <x:c r="B24" t="str">
        <x:v>OPR0000276730</x:v>
      </x:c>
      <x:c r="C24" t="str">
        <x:v>L'Or</x:v>
      </x:c>
      <x:c r="D24" t="str">
        <x:v>FORT-DE-FRANCE</x:v>
      </x:c>
      <x:c r="E24" t="str">
        <x:v>CONT</x:v>
      </x:c>
      <x:c r="F24" s="12" t="n">
        <x:v>11903</x:v>
      </x:c>
      <x:c r="G24" s="14" t="n">
        <x:v>0.02658634224553924</x:v>
      </x:c>
      <x:c r="H24" t="str">
        <x:v>24110650</x:v>
      </x:c>
      <x:c r="I24" t="str"/>
      <x:c r="J24" t="str">
        <x:v>5</x:v>
      </x:c>
      <x:c r="K24" t="str">
        <x:v>Contrôlé Niveau 1</x:v>
      </x:c>
      <x:c r="L24" t="str">
        <x:v>MES</x:v>
      </x:c>
    </x:row>
    <x:row r="25">
      <x:c r="A25" t="n">
        <x:v>24</x:v>
      </x:c>
      <x:c r="B25" t="str">
        <x:v>OPR0000276717</x:v>
      </x:c>
      <x:c r="C25" t="str">
        <x:v>Essente</x:v>
      </x:c>
      <x:c r="D25" t="str">
        <x:v>MORNE-ROUGE</x:v>
      </x:c>
      <x:c r="E25" t="str">
        <x:v>CONT</x:v>
      </x:c>
      <x:c r="F25" s="12" t="n">
        <x:v>0</x:v>
      </x:c>
      <x:c r="G25" s="14" t="n">
        <x:v>0</x:v>
      </x:c>
      <x:c r="H25" t="str">
        <x:v>23280320</x:v>
      </x:c>
      <x:c r="I25" t="str"/>
      <x:c r="J25" t="str">
        <x:v>5</x:v>
      </x:c>
      <x:c r="K25" t="str">
        <x:v>Contrôlé Niveau 1</x:v>
      </x:c>
      <x:c r="L25" t="str">
        <x:v>MES</x:v>
      </x:c>
    </x:row>
    <x:row r="26">
      <x:c r="A26" t="n">
        <x:v>25</x:v>
      </x:c>
      <x:c r="B26" t="str">
        <x:v>OPR0000591074</x:v>
      </x:c>
      <x:c r="C26" t="str">
        <x:v>Source Potiche</x:v>
      </x:c>
      <x:c r="D26" t="str">
        <x:v>MACOUBA</x:v>
      </x:c>
      <x:c r="E26" t="str">
        <x:v>SOUT</x:v>
      </x:c>
      <x:c r="F26" s="12" t="n">
        <x:v>0</x:v>
      </x:c>
      <x:c r="G26" s="14" t="n">
        <x:v>0</x:v>
      </x:c>
      <x:c r="H26" t="str"/>
      <x:c r="I26" t="str">
        <x:v>1166ZZ0020</x:v>
      </x:c>
      <x:c r="J26" t="str">
        <x:v>5</x:v>
      </x:c>
      <x:c r="K26" t="str">
        <x:v>Contrôlé Niveau 1</x:v>
      </x:c>
      <x:c r="L26" t="str">
        <x:v>MES</x:v>
      </x:c>
    </x:row>
    <x:row r="27">
      <x:c r="A27" t="n">
        <x:v>26</x:v>
      </x:c>
      <x:c r="B27" t="str">
        <x:v>OPR0000276732</x:v>
      </x:c>
      <x:c r="C27" t="str">
        <x:v>Pécoul FR1 bis</x:v>
      </x:c>
      <x:c r="D27" t="str">
        <x:v>SAINT-PIERRE</x:v>
      </x:c>
      <x:c r="E27" t="str">
        <x:v>SOUT</x:v>
      </x:c>
      <x:c r="F27" s="12" t="n">
        <x:v>0</x:v>
      </x:c>
      <x:c r="G27" s="14" t="n">
        <x:v>0</x:v>
      </x:c>
      <x:c r="H27" t="str"/>
      <x:c r="I27" t="str">
        <x:v>1167ZZ0042</x:v>
      </x:c>
      <x:c r="J27" t="str">
        <x:v>5</x:v>
      </x:c>
      <x:c r="K27" t="str">
        <x:v>Contrôlé Niveau 1</x:v>
      </x:c>
      <x:c r="L27" t="str">
        <x:v>MES</x:v>
      </x:c>
    </x:row>
    <x:row r="28">
      <x:c r="A28" t="n">
        <x:v>27</x:v>
      </x:c>
      <x:c r="B28" t="str">
        <x:v>OPR0000276731</x:v>
      </x:c>
      <x:c r="C28" t="str">
        <x:v>Pécoul FR8</x:v>
      </x:c>
      <x:c r="D28" t="str">
        <x:v>SAINT-PIERRE</x:v>
      </x:c>
      <x:c r="E28" t="str">
        <x:v>SOUT</x:v>
      </x:c>
      <x:c r="F28" s="12" t="n">
        <x:v>0</x:v>
      </x:c>
      <x:c r="G28" s="14" t="n">
        <x:v>0</x:v>
      </x:c>
      <x:c r="H28" t="str"/>
      <x:c r="I28" t="str">
        <x:v>1167ZZ0066/FR8</x:v>
      </x:c>
      <x:c r="J28" t="str">
        <x:v>5</x:v>
      </x:c>
      <x:c r="K28" t="str">
        <x:v>Contrôlé Niveau 1</x:v>
      </x:c>
      <x:c r="L28" t="str">
        <x:v>MES</x:v>
      </x:c>
    </x:row>
    <x:row r="29">
      <x:c r="A29" t="n">
        <x:v>28</x:v>
      </x:c>
      <x:c r="B29" t="str">
        <x:v>OPR0000276723</x:v>
      </x:c>
      <x:c r="C29" t="str">
        <x:v>Louison</x:v>
      </x:c>
      <x:c r="D29" t="str">
        <x:v>BASSE-POINTE</x:v>
      </x:c>
      <x:c r="E29" t="str">
        <x:v>SOUT</x:v>
      </x:c>
      <x:c r="F29" s="12" t="n">
        <x:v>0</x:v>
      </x:c>
      <x:c r="G29" s="14" t="n">
        <x:v>0</x:v>
      </x:c>
      <x:c r="H29" t="str"/>
      <x:c r="I29" t="str">
        <x:v>1168ZZ0049</x:v>
      </x:c>
      <x:c r="J29" t="str">
        <x:v>5</x:v>
      </x:c>
      <x:c r="K29" t="str">
        <x:v>Contrôlé Niveau 1</x:v>
      </x:c>
      <x:c r="L29" t="str">
        <x:v>MES</x:v>
      </x:c>
    </x:row>
    <x:row r="30">
      <x:c r="A30" t="n">
        <x:v>29</x:v>
      </x:c>
      <x:c r="B30" t="str">
        <x:v>OPR0000276724</x:v>
      </x:c>
      <x:c r="C30" t="str">
        <x:v>Marc Cécile</x:v>
      </x:c>
      <x:c r="D30" t="str">
        <x:v>AJOUPA-BOUILLON</x:v>
      </x:c>
      <x:c r="E30" t="str">
        <x:v>SOUT</x:v>
      </x:c>
      <x:c r="F30" s="12" t="n">
        <x:v>0</x:v>
      </x:c>
      <x:c r="G30" s="14" t="n">
        <x:v>0</x:v>
      </x:c>
      <x:c r="H30" t="str"/>
      <x:c r="I30" t="str">
        <x:v>1168ZZ0047</x:v>
      </x:c>
      <x:c r="J30" t="str">
        <x:v>5</x:v>
      </x:c>
      <x:c r="K30" t="str">
        <x:v>Contrôlé Niveau 1</x:v>
      </x:c>
      <x:c r="L30" t="str">
        <x:v>MES</x:v>
      </x:c>
    </x:row>
  </x:sheetData>
  <x:conditionalFormatting sqref="E2:E30">
    <x:cfRule type="expression" dxfId="3" priority="1">
      <x:formula>E2="CONT"</x:formula>
    </x:cfRule>
    <x:cfRule type="expression" dxfId="4" priority="2">
      <x:formula>E2="SOUT"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7de84ae672e4b2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32" hidden="0" customWidth="1"/>
    <x:col min="4" max="4" width="3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</x:cols>
  <x:sheetData>
    <x:row r="1">
      <x:c r="A1" s="25" t="str">
        <x:v>Année</x:v>
      </x:c>
      <x:c r="B1" s="25" t="str">
        <x:v>Volume m³</x:v>
      </x:c>
      <x:c r="C1" s="25" t="str">
        <x:v>Commentaire</x:v>
      </x:c>
    </x:row>
    <x:row r="2">
      <x:c r="A2" t="n">
        <x:v>2022</x:v>
      </x:c>
      <x:c r="B2" s="12" t="n">
        <x:v>63317868</x:v>
      </x:c>
      <x:c r="C2" t="str"/>
    </x:row>
    <x:row r="3">
      <x:c r="A3" t="n">
        <x:v>2023</x:v>
      </x:c>
      <x:c r="B3" s="12" t="n">
        <x:v>60781832</x:v>
      </x:c>
      <x:c r="C3" t="str"/>
    </x:row>
    <x:row r="4">
      <x:c r="A4" t="n">
        <x:v>2024</x:v>
      </x:c>
      <x:c r="B4" s="12"/>
      <x:c r="C4" t="str">
        <x:v>Données indisponibles</x:v>
      </x:c>
    </x:row>
  </x:sheetData>
  <x:pageMargins left="0.7" right="0.7" top="0.75" bottom="0.75" header="0.3" footer="0.3"/>
  <x:drawing xmlns:r="http://schemas.openxmlformats.org/officeDocument/2006/relationships" r:id="Re11d5d69d8814821"/>
  <x:tableParts count="1">
    <x:tablePart xmlns:r="http://schemas.openxmlformats.org/officeDocument/2006/relationships" r:id="Re65f07bb0989403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30" hidden="0" customWidth="1"/>
    <x:col min="4" max="4" width="80" hidden="0" customWidth="1"/>
  </x:cols>
  <x:sheetData>
    <x:row r="1">
      <x:c r="A1" s="43" t="str">
        <x:v>Année</x:v>
      </x:c>
      <x:c r="B1" s="43" t="str">
        <x:v>Sévérité</x:v>
      </x:c>
      <x:c r="C1" s="43" t="str">
        <x:v>Type</x:v>
      </x:c>
      <x:c r="D1" s="43" t="str">
        <x:v>Message</x:v>
      </x:c>
    </x:row>
    <x:row r="2">
      <x:c r="A2" s="17" t="n">
        <x:v>2022</x:v>
      </x:c>
      <x:c r="B2" s="17" t="str">
        <x:v>WARNING</x:v>
      </x:c>
      <x:c r="C2" s="17" t="str">
        <x:v>AEP_INVENTORY_INCOMPLETE</x:v>
      </x:c>
      <x:c r="D2" s="17" t="str">
        <x:v>BNPE contient 29 ouvrages AEP, contre 35 captages dans le rapport ODE. Ne pas utiliser BNPE seule pour l'inventaire.</x:v>
      </x:c>
    </x:row>
    <x:row r="3">
      <x:c r="A3" s="17" t="n">
        <x:v>2022</x:v>
      </x:c>
      <x:c r="B3" s="17" t="str">
        <x:v>INFO</x:v>
      </x:c>
      <x:c r="C3" s="17" t="str">
        <x:v>AEP_COORDINATES_APPROXIMATE</x:v>
      </x:c>
      <x:c r="D3" s="17" t="str">
        <x:v>Les coordonnées des ouvrages AEP ont une précision 5/6 : elles ne doivent pas être traitées comme localisation exacte.</x:v>
      </x:c>
    </x:row>
  </x:sheetData>
  <x:pageMargins left="0.7" right="0.7" top="0.75" bottom="0.75" header="0.3" footer="0.3"/>
  <x:tableParts count="1">
    <x:tablePart xmlns:r="http://schemas.openxmlformats.org/officeDocument/2006/relationships" r:id="Rba3be8bea7884d6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0" hidden="0" customWidth="1"/>
    <x:col min="3" max="3" width="60" hidden="0" customWidth="1"/>
  </x:cols>
  <x:sheetData>
    <x:row r="1">
      <x:c r="A1" s="30" t="str">
        <x:v>Élément</x:v>
      </x:c>
      <x:c r="B1" s="30" t="str">
        <x:v>Valeur</x:v>
      </x:c>
      <x:c r="C1" s="30" t="str">
        <x:v>Remarque</x:v>
      </x:c>
    </x:row>
    <x:row r="2">
      <x:c r="A2" s="17" t="str">
        <x:v>Export BNPE</x:v>
      </x:c>
      <x:c r="B2" s="17" t="str">
        <x:v>Martinique, 2022 à 2024, tout usage, tout type d'eau</x:v>
      </x:c>
      <x:c r="C2" s="17" t="str">
        <x:v>Publication/export du 24/09/2026</x:v>
      </x:c>
    </x:row>
    <x:row r="3">
      <x:c r="A3" s="17" t="str">
        <x:v>Disponibilité 2022</x:v>
      </x:c>
      <x:c r="B3" s="17" t="str">
        <x:v>63 317 868 m³</x:v>
      </x:c>
      <x:c r="C3" s="17" t="str">
        <x:v>Disponible</x:v>
      </x:c>
    </x:row>
    <x:row r="4">
      <x:c r="A4" s="17" t="str">
        <x:v>Disponibilité 2023</x:v>
      </x:c>
      <x:c r="B4" s="17" t="str">
        <x:v>60 781 832 m³</x:v>
      </x:c>
      <x:c r="C4" s="17" t="str">
        <x:v>Disponible</x:v>
      </x:c>
    </x:row>
    <x:row r="5">
      <x:c r="A5" s="17" t="str">
        <x:v>Disponibilité 2024</x:v>
      </x:c>
      <x:c r="B5" s="17" t="str"/>
      <x:c r="C5" s="17" t="str">
        <x:v>Données indisponibles dans l'export</x:v>
      </x:c>
    </x:row>
    <x:row r="6">
      <x:c r="A6" s="17" t="str">
        <x:v>Grain du détail</x:v>
      </x:c>
      <x:c r="B6" s="17" t="str">
        <x:v>Année × ouvrage Sandre × usage</x:v>
      </x:c>
      <x:c r="C6" s="17" t="str">
        <x:v>prelevements.csv</x:v>
      </x:c>
    </x:row>
    <x:row r="7">
      <x:c r="A7" s="17" t="str">
        <x:v>Source inventaire captages</x:v>
      </x:c>
      <x:c r="B7" s="17" t="str">
        <x:v>SISPEA / ODE / ARS</x:v>
      </x:c>
      <x:c r="C7" s="17" t="str">
        <x:v>BNPE non exhaustive pour compter les captages</x:v>
      </x:c>
    </x:row>
    <x:row r="8">
      <x:c r="A8" s="17" t="str">
        <x:v>Localisation AEP</x:v>
      </x:c>
      <x:c r="B8" s="17" t="str">
        <x:v>Approchée</x:v>
      </x:c>
      <x:c r="C8" s="17" t="str">
        <x:v>Ne pas utiliser comme position exacte si précision 5/6</x:v>
      </x:c>
    </x:row>
    <x:row r="9">
      <x:c r="A9" s="17" t="str">
        <x:v>API future</x:v>
      </x:c>
      <x:c r="B9" s="17" t="str">
        <x:v>Hub'Eau Prélèvements en eau</x:v>
      </x:c>
      <x:c r="C9" s="17" t="str">
        <x:v>À connecter dans une étape ultérieure de téléchargement automatique</x:v>
      </x:c>
    </x:row>
  </x:sheetData>
  <x:pageMargins left="0.7" right="0.7" top="0.75" bottom="0.75" header="0.3" footer="0.3"/>
  <x:tableParts count="1">
    <x:tablePart xmlns:r="http://schemas.openxmlformats.org/officeDocument/2006/relationships" r:id="R288e15b1feaf4b8a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48" hidden="0" customWidth="1"/>
    <x:col min="4" max="4" width="32" hidden="0" customWidth="1"/>
    <x:col min="5" max="5" width="42" hidden="0" customWidth="1"/>
    <x:col min="6" max="6" width="28" hidden="0" customWidth="1"/>
  </x:cols>
  <x:sheetData>
    <x:row r="1">
      <x:c r="A1" s="40" t="str">
        <x:v>Étape</x:v>
      </x:c>
      <x:c r="B1" s="40" t="str">
        <x:v>Entrée</x:v>
      </x:c>
      <x:c r="C1" s="40" t="str">
        <x:v>Traitement</x:v>
      </x:c>
      <x:c r="D1" s="40" t="str">
        <x:v>Sortie</x:v>
      </x:c>
      <x:c r="E1" s="40" t="str">
        <x:v>Contrôle</x:v>
      </x:c>
      <x:c r="F1" s="40" t="str">
        <x:v>Automatisation</x:v>
      </x:c>
    </x:row>
    <x:row r="2">
      <x:c r="A2" s="17" t="n">
        <x:v>1</x:v>
      </x:c>
      <x:c r="B2" s="17" t="str">
        <x:v>Export BNPE</x:v>
      </x:c>
      <x:c r="C2" s="17" t="str">
        <x:v>Charger les 5 CSV standards</x:v>
      </x:c>
      <x:c r="D2" s="17" t="str">
        <x:v>RAW + hash</x:v>
      </x:c>
      <x:c r="E2" s="17" t="str">
        <x:v>Année et disponibilité</x:v>
      </x:c>
      <x:c r="F2" s="17" t="str">
        <x:v>Automatique</x:v>
      </x:c>
    </x:row>
    <x:row r="3">
      <x:c r="A3" s="17" t="n">
        <x:v>2</x:v>
      </x:c>
      <x:c r="B3" s="17" t="str">
        <x:v>prelevements.csv</x:v>
      </x:c>
      <x:c r="C3" s="17" t="str">
        <x:v>Normaliser au grain année × ouvrage × usage</x:v>
      </x:c>
      <x:c r="D3" s="17" t="str">
        <x:v>fact_prelevement_bnpe</x:v>
      </x:c>
      <x:c r="E3" s="17" t="str">
        <x:v>Doublons, volumes, statut</x:v>
      </x:c>
      <x:c r="F3" s="17" t="str">
        <x:v>Automatique</x:v>
      </x:c>
    </x:row>
    <x:row r="4">
      <x:c r="A4" s="17" t="n">
        <x:v>3</x:v>
      </x:c>
      <x:c r="B4" s="17" t="str">
        <x:v>synthese_*</x:v>
      </x:c>
      <x:c r="C4" s="17" t="str">
        <x:v>Contrôler les sommes du détail</x:v>
      </x:c>
      <x:c r="D4" s="17" t="str">
        <x:v>checks BNPE</x:v>
      </x:c>
      <x:c r="E4" s="17" t="str">
        <x:v>Total détail = synthèses</x:v>
      </x:c>
      <x:c r="F4" s="17" t="str">
        <x:v>Automatique</x:v>
      </x:c>
    </x:row>
    <x:row r="5">
      <x:c r="A5" s="17" t="n">
        <x:v>4</x:v>
      </x:c>
      <x:c r="B5" s="17" t="str">
        <x:v>AEP</x:v>
      </x:c>
      <x:c r="C5" s="17" t="str">
        <x:v>Calculer surface/souterrain</x:v>
      </x:c>
      <x:c r="D5" s="17" t="str">
        <x:v>mart indicateurs</x:v>
      </x:c>
      <x:c r="E5" s="17" t="str">
        <x:v>Ratio sur AEP uniquement</x:v>
      </x:c>
      <x:c r="F5" s="17" t="str">
        <x:v>Automatique</x:v>
      </x:c>
    </x:row>
    <x:row r="6">
      <x:c r="A6" s="17" t="n">
        <x:v>5</x:v>
      </x:c>
      <x:c r="B6" s="17" t="str">
        <x:v>AEP</x:v>
      </x:c>
      <x:c r="C6" s="17" t="str">
        <x:v>Calcul Lézarde + Blanche</x:v>
      </x:c>
      <x:c r="D6" s="17" t="str">
        <x:v>mart indicateurs</x:v>
      </x:c>
      <x:c r="E6" s="17" t="str">
        <x:v>Codes ouvrages versionnés</x:v>
      </x:c>
      <x:c r="F6" s="17" t="str">
        <x:v>Automatique</x:v>
      </x:c>
    </x:row>
    <x:row r="7">
      <x:c r="A7" s="17" t="n">
        <x:v>6</x:v>
      </x:c>
      <x:c r="B7" s="17" t="str">
        <x:v>Captages</x:v>
      </x:c>
      <x:c r="C7" s="17" t="str">
        <x:v>Comparer avec inventaire patrimonial</x:v>
      </x:c>
      <x:c r="D7" s="17" t="str">
        <x:v>alerte qualité</x:v>
      </x:c>
      <x:c r="E7" s="17" t="str">
        <x:v>BNPE ≠ inventaire exhaustif</x:v>
      </x:c>
      <x:c r="F7" s="17" t="str">
        <x:v>Automatique + source externe</x:v>
      </x:c>
    </x:row>
    <x:row r="8">
      <x:c r="A8" s="17" t="n">
        <x:v>7</x:v>
      </x:c>
      <x:c r="B8" s="17" t="str">
        <x:v>Nouveau millésime</x:v>
      </x:c>
      <x:c r="C8" s="17" t="str">
        <x:v>Comparer au précédent snapshot</x:v>
      </x:c>
      <x:c r="D8" s="17" t="str">
        <x:v>journal révisions</x:v>
      </x:c>
      <x:c r="E8" s="17" t="str">
        <x:v>Écart N / N-1 et révisions</x:v>
      </x:c>
      <x:c r="F8" s="17" t="str">
        <x:v>Automatique</x:v>
      </x:c>
    </x:row>
  </x:sheetData>
  <x:pageMargins left="0.7" right="0.7" top="0.75" bottom="0.75" header="0.3" footer="0.3"/>
  <x:tableParts count="1">
    <x:tablePart xmlns:r="http://schemas.openxmlformats.org/officeDocument/2006/relationships" r:id="Rc57ba22d4a8f4a3e"/>
  </x:tableParts>
</x:worksheet>
</file>