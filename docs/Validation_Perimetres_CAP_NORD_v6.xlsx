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13d370093944b67" /></Relationships>
</file>

<file path=xl/workbook.xml><?xml version="1.0" encoding="utf-8"?>
<x:workbook xmlns:x="http://schemas.openxmlformats.org/spreadsheetml/2006/main">
  <x:sheets>
    <x:sheet xmlns:r="http://schemas.openxmlformats.org/officeDocument/2006/relationships" name="Synthese" sheetId="1" r:id="R0b598a1a9a904ddd"/>
    <x:sheet xmlns:r="http://schemas.openxmlformats.org/officeDocument/2006/relationships" name="EPCI_communes" sheetId="2" r:id="Rf7162a1eb5d1466b"/>
    <x:sheet xmlns:r="http://schemas.openxmlformats.org/officeDocument/2006/relationships" name="Perimetres_service" sheetId="3" r:id="R037aaa0e0ecf4f99"/>
    <x:sheet xmlns:r="http://schemas.openxmlformats.org/officeDocument/2006/relationships" name="Bridge_communes" sheetId="4" r:id="R83f5ee81058745dc"/>
    <x:sheet xmlns:r="http://schemas.openxmlformats.org/officeDocument/2006/relationships" name="CAPNord_faits" sheetId="5" r:id="Rde36476c599d4df6"/>
    <x:sheet xmlns:r="http://schemas.openxmlformats.org/officeDocument/2006/relationships" name="Secteurs_RT_CN" sheetId="6" r:id="R7da7330ad2f347ed"/>
    <x:sheet xmlns:r="http://schemas.openxmlformats.org/officeDocument/2006/relationships" name="Anomalies_SISPEA" sheetId="7" r:id="R501b0b7184f745bd"/>
    <x:sheet xmlns:r="http://schemas.openxmlformats.org/officeDocument/2006/relationships" name="Couverture_2023_2024" sheetId="8" r:id="Ra1d5bfc153cd4690"/>
    <x:sheet xmlns:r="http://schemas.openxmlformats.org/officeDocument/2006/relationships" name="Controles" sheetId="9" r:id="Rbb846b0a71944b34"/>
    <x:sheet xmlns:r="http://schemas.openxmlformats.org/officeDocument/2006/relationships" name="Master_2023" sheetId="10" r:id="R1b997c3d51aa41fc"/>
    <x:sheet xmlns:r="http://schemas.openxmlformats.org/officeDocument/2006/relationships" name="Master_2024" sheetId="11" r:id="R5fe026bec1fc4a1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5"/>
      <x:color rgb="FFFFFFFF"/>
      <x:name val="Carlito"/>
    </x:font>
    <x:font>
      <x:b/>
      <x:sz val="11"/>
      <x:color rgb="FF0B4F7C"/>
      <x:name val="Carlito"/>
    </x:font>
    <x:font>
      <x:b/>
      <x:sz val="11"/>
      <x:color rgb="FFFFFFFF"/>
      <x:name val="Carlito"/>
    </x:font>
  </x:fonts>
  <x:fills count="7">
    <x:fill>
      <x:patternFill patternType="none"/>
    </x:fill>
    <x:fill>
      <x:patternFill patternType="gray125"/>
    </x:fill>
    <x:fill>
      <x:patternFill patternType="solid">
        <x:fgColor rgb="FF0B4F7C"/>
      </x:patternFill>
    </x:fill>
    <x:fill>
      <x:patternFill patternType="solid">
        <x:fgColor rgb="FFEAF4FA"/>
      </x:patternFill>
    </x:fill>
    <x:fill>
      <x:patternFill patternType="solid">
        <x:fgColor rgb="FF159A9A"/>
      </x:patternFill>
    </x:fill>
    <x:fill>
      <x:patternFill patternType="solid">
        <x:fgColor rgb="FFFFFFFF"/>
      </x:patternFill>
    </x:fill>
    <x:fill>
      <x:patternFill patternType="solid">
        <x:fgColor rgb="FFF3F5F7"/>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1" xfId="0" applyNumberFormat="1" applyFont="1" applyFill="1" applyBorder="1"/>
    <x:xf numFmtId="0" fontId="0" fillId="6" borderId="1" xfId="0" applyNumberFormat="1" applyFont="1" applyFill="1" applyBorder="1" applyAlignment="1">
      <x:alignment wrapText="1"/>
    </x:xf>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cellXfs>
  <x:cellStyles count="1">
    <x:cellStyle name="Normal" xfId="0"/>
  </x:cellStyles>
  <x:dxfs count="21">
    <x:dxf>
      <x:fill>
        <x:patternFill patternType="solid">
          <x:bgColor rgb="FFE6F4EA"/>
        </x:patternFill>
      </x:fill>
    </x:dxf>
    <x:dxf>
      <x:fill>
        <x:patternFill patternType="solid">
          <x:bgColor rgb="FFFDE7E3"/>
        </x:patternFill>
      </x:fill>
    </x:dxf>
    <x:dxf>
      <x:fill>
        <x:patternFill patternType="solid">
          <x:bgColor rgb="FFFFF0CC"/>
        </x:patternFill>
      </x:fill>
    </x:dxf>
    <x:dxf>
      <x:fill>
        <x:patternFill patternType="solid">
          <x:bgColor rgb="FFE6F4EA"/>
        </x:patternFill>
      </x:fill>
    </x:dxf>
    <x:dxf>
      <x:fill>
        <x:patternFill patternType="solid">
          <x:bgColor rgb="FFE6F4EA"/>
        </x:patternFill>
      </x:fill>
    </x:dxf>
    <x:dxf>
      <x:fill>
        <x:patternFill patternType="solid">
          <x:bgColor rgb="FFFFF0CC"/>
        </x:patternFill>
      </x:fill>
    </x:dxf>
    <x:dxf>
      <x:fill>
        <x:patternFill patternType="solid">
          <x:bgColor rgb="FFDDEEF7"/>
        </x:patternFill>
      </x:fill>
    </x:dxf>
    <x:dxf>
      <x:fill>
        <x:patternFill patternType="solid">
          <x:bgColor rgb="FFFDE7E3"/>
        </x:patternFill>
      </x:fill>
    </x:dxf>
    <x:dxf>
      <x:fill>
        <x:patternFill patternType="solid">
          <x:bgColor rgb="FFFFF0CC"/>
        </x:patternFill>
      </x:fill>
    </x:dxf>
    <x:dxf>
      <x:fill>
        <x:patternFill patternType="solid">
          <x:bgColor rgb="FFFDE7E3"/>
        </x:patternFill>
      </x:fill>
    </x:dxf>
    <x:dxf>
      <x:fill>
        <x:patternFill patternType="solid">
          <x:bgColor rgb="FFFFF0CC"/>
        </x:patternFill>
      </x:fill>
    </x:dxf>
    <x:dxf>
      <x:fill>
        <x:patternFill patternType="solid">
          <x:bgColor rgb="FFE6F4EA"/>
        </x:patternFill>
      </x:fill>
    </x:dxf>
    <x:dxf>
      <x:fill>
        <x:patternFill patternType="solid">
          <x:bgColor rgb="FFDDEEF7"/>
        </x:patternFill>
      </x:fill>
    </x:dxf>
    <x:dxf>
      <x:fill>
        <x:patternFill patternType="solid">
          <x:bgColor rgb="FFFDE7E3"/>
        </x:patternFill>
      </x:fill>
    </x:dxf>
    <x:dxf>
      <x:fill>
        <x:patternFill patternType="solid">
          <x:bgColor rgb="FFE6F4EA"/>
        </x:patternFill>
      </x:fill>
    </x:dxf>
    <x:dxf>
      <x:fill>
        <x:patternFill patternType="solid">
          <x:bgColor rgb="FFE6F4EA"/>
        </x:patternFill>
      </x:fill>
    </x:dxf>
    <x:dxf>
      <x:fill>
        <x:patternFill patternType="solid">
          <x:bgColor rgb="FFFFF0CC"/>
        </x:patternFill>
      </x:fill>
    </x:dxf>
    <x:dxf>
      <x:fill>
        <x:patternFill patternType="solid">
          <x:bgColor rgb="FFDDEEF7"/>
        </x:patternFill>
      </x:fill>
    </x:dxf>
    <x:dxf>
      <x:fill>
        <x:patternFill patternType="solid">
          <x:bgColor rgb="FFE6F4EA"/>
        </x:patternFill>
      </x:fill>
    </x:dxf>
    <x:dxf>
      <x:fill>
        <x:patternFill patternType="solid">
          <x:bgColor rgb="FFFFF0CC"/>
        </x:patternFill>
      </x:fill>
    </x:dxf>
    <x:dxf>
      <x:fill>
        <x:patternFill patternType="solid">
          <x:bgColor rgb="FFDDEE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663034566b24d7d" /><Relationship Type="http://schemas.openxmlformats.org/officeDocument/2006/relationships/theme" Target="/xl/theme/theme1.xml" Id="R275f9e46e4844889" /><Relationship Type="http://schemas.openxmlformats.org/officeDocument/2006/relationships/sharedStrings" Target="/xl/sharedStrings.xml" Id="R8c90b14e49024ff1" /><Relationship Type="http://schemas.openxmlformats.org/officeDocument/2006/relationships/worksheet" Target="/xl/worksheets/sheet1.xml" Id="R0b598a1a9a904ddd" /><Relationship Type="http://schemas.openxmlformats.org/officeDocument/2006/relationships/worksheet" Target="/xl/worksheets/sheet2.xml" Id="Rf7162a1eb5d1466b" /><Relationship Type="http://schemas.openxmlformats.org/officeDocument/2006/relationships/worksheet" Target="/xl/worksheets/sheet3.xml" Id="R037aaa0e0ecf4f99" /><Relationship Type="http://schemas.openxmlformats.org/officeDocument/2006/relationships/worksheet" Target="/xl/worksheets/sheet4.xml" Id="R83f5ee81058745dc" /><Relationship Type="http://schemas.openxmlformats.org/officeDocument/2006/relationships/worksheet" Target="/xl/worksheets/sheet5.xml" Id="Rde36476c599d4df6" /><Relationship Type="http://schemas.openxmlformats.org/officeDocument/2006/relationships/worksheet" Target="/xl/worksheets/sheet6.xml" Id="R7da7330ad2f347ed" /><Relationship Type="http://schemas.openxmlformats.org/officeDocument/2006/relationships/worksheet" Target="/xl/worksheets/sheet7.xml" Id="R501b0b7184f745bd" /><Relationship Type="http://schemas.openxmlformats.org/officeDocument/2006/relationships/worksheet" Target="/xl/worksheets/sheet8.xml" Id="Ra1d5bfc153cd4690" /><Relationship Type="http://schemas.openxmlformats.org/officeDocument/2006/relationships/worksheet" Target="/xl/worksheets/sheet9.xml" Id="Rbb846b0a71944b34" /><Relationship Type="http://schemas.openxmlformats.org/officeDocument/2006/relationships/worksheet" Target="/xl/worksheets/sheet10.xml" Id="R1b997c3d51aa41fc" /><Relationship Type="http://schemas.openxmlformats.org/officeDocument/2006/relationships/worksheet" Target="/xl/worksheets/sheet11.xml" Id="R5fe026bec1fc4a17" /></Relationships>
</file>

<file path=xl/drawings/_rels/drawing1.xml.rels>&#65279;<?xml version="1.0" encoding="utf-8"?><Relationships xmlns="http://schemas.openxmlformats.org/package/2006/relationships"><Relationship Type="http://schemas.openxmlformats.org/officeDocument/2006/relationships/chart" Target="/xl/drawings/charts/chart1.xml" Id="R95f1b2c695ad468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Réconciliation des abonnés CAP Nord</a:t>
            </a:r>
          </a:p>
        </c:rich>
      </c:tx>
    </c:title>
    <c:plotArea>
      <c:barChart>
        <c:barDir val="col"/>
        <c:varyColors val="0"/>
        <c:ser>
          <c:idx val="0"/>
          <c:order val="0"/>
          <c:tx>
            <c:v>Contrat CAP Nord</c:v>
          </c:tx>
          <c:cat>
            <c:strRef>
              <c:f>'Synthese'!$D$4:$D$5</c:f>
              <c:strCache>
                <c:ptCount val="0"/>
              </c:strCache>
            </c:strRef>
          </c:cat>
          <c:val>
            <c:numRef>
              <c:f>'Synthese'!$E$4:$E$5</c:f>
              <c:numCache>
                <c:formatCode>#,##0</c:formatCode>
                <c:ptCount val="0"/>
              </c:numCache>
            </c:numRef>
          </c:val>
        </c:ser>
        <c:ser>
          <c:idx val="1"/>
          <c:order val="1"/>
          <c:tx>
            <c:v>Robert-Trinité Ex-SICSM</c:v>
          </c:tx>
          <c:cat>
            <c:strRef>
              <c:f>'Synthese'!$D$4:$D$5</c:f>
              <c:strCache>
                <c:ptCount val="0"/>
              </c:strCache>
            </c:strRef>
          </c:cat>
          <c:val>
            <c:numRef>
              <c:f>'Synthese'!$F$4:$F$5</c:f>
              <c:numCache>
                <c:formatCode>#,##0</c:formatCode>
                <c:ptCount val="0"/>
              </c:numCache>
            </c:numRef>
          </c:val>
        </c:ser>
        <c:ser>
          <c:idx val="2"/>
          <c:order val="2"/>
          <c:tx>
            <c:v>Somme calculée</c:v>
          </c:tx>
          <c:cat>
            <c:strRef>
              <c:f>'Synthese'!$D$4:$D$5</c:f>
              <c:strCache>
                <c:ptCount val="0"/>
              </c:strCache>
            </c:strRef>
          </c:cat>
          <c:val>
            <c:numRef>
              <c:f>'Synthese'!$G$4:$G$5</c:f>
              <c:numCache>
                <c:formatCode>#,##0</c:formatCode>
                <c:ptCount val="0"/>
              </c:numCache>
            </c:numRef>
          </c:val>
        </c:ser>
        <c:ser>
          <c:idx val="3"/>
          <c:order val="3"/>
          <c:tx>
            <c:v>Total RPQS EPCI</c:v>
          </c:tx>
          <c:cat>
            <c:strRef>
              <c:f>'Synthese'!$D$4:$D$5</c:f>
              <c:strCache>
                <c:ptCount val="0"/>
              </c:strCache>
            </c:strRef>
          </c:cat>
          <c:val>
            <c:numRef>
              <c:f>'Synthese'!$H$4:$H$5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20</xdr:row>
      <xdr:rowOff>0</xdr:rowOff>
    </xdr:from>
    <xdr:to>
      <xdr:col>9</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5f1b2c695ad4685"/>
        </a:graphicData>
      </a:graphic>
    </xdr:graphicFrame>
    <xdr:clientData/>
  </xdr:twoCellAnchor>
</xdr:wsDr>
</file>

<file path=xl/tables/table1.xml><?xml version="1.0" encoding="utf-8"?>
<x:table xmlns:x="http://schemas.openxmlformats.org/spreadsheetml/2006/main" id="1" name="EpciTable" displayName="EpciTable" ref="A1:F35" headerRowCount="1" totalsRowCount="0" totalsRowShown="0">
  <x:tableColumns count="6">
    <x:tableColumn id="1" name="EPCI"/>
    <x:tableColumn id="2" name="Nom EPCI"/>
    <x:tableColumn id="3" name="Code INSEE"/>
    <x:tableColumn id="4" name="Commune"/>
    <x:tableColumn id="5" name="Valide depuis"/>
    <x:tableColumn id="6" name="Source"/>
  </x:tableColumns>
  <x:tableStyleInfo name="TableStyleMedium2" showFirstColumn="0" showLastColumn="0" showRowStripes="1" showColumnStripes="0"/>
</x:table>
</file>

<file path=xl/tables/table2.xml><?xml version="1.0" encoding="utf-8"?>
<x:table xmlns:x="http://schemas.openxmlformats.org/spreadsheetml/2006/main" id="2" name="PerimeterTable" displayName="PerimeterTable" ref="A1:I10" headerRowCount="1" totalsRowCount="0" totalsRowShown="0">
  <x:tableColumns count="9">
    <x:tableColumn id="1" name="ID périmètre"/>
    <x:tableColumn id="2" name="Libellé"/>
    <x:tableColumn id="3" name="Type"/>
    <x:tableColumn id="4" name="Début"/>
    <x:tableColumn id="5" name="Fin"/>
    <x:tableColumn id="6" name="Autorité"/>
    <x:tableColumn id="7" name="Exploitant"/>
    <x:tableColumn id="8" name="Notes"/>
    <x:tableColumn id="9" name="Source"/>
  </x:tableColumns>
  <x:tableStyleInfo name="TableStyleMedium2" showFirstColumn="0" showLastColumn="0" showRowStripes="1" showColumnStripes="0"/>
</x:table>
</file>

<file path=xl/tables/table3.xml><?xml version="1.0" encoding="utf-8"?>
<x:table xmlns:x="http://schemas.openxmlformats.org/spreadsheetml/2006/main" id="3" name="BridgeTable" displayName="BridgeTable" ref="A1:G87" headerRowCount="1" totalsRowCount="0" totalsRowShown="0">
  <x:tableColumns count="7">
    <x:tableColumn id="1" name="ID périmètre"/>
    <x:tableColumn id="2" name="Code INSEE"/>
    <x:tableColumn id="3" name="Commune"/>
    <x:tableColumn id="4" name="Couverture"/>
    <x:tableColumn id="5" name="Secteur"/>
    <x:tableColumn id="6" name="Début"/>
    <x:tableColumn id="7" name="Fin"/>
  </x:tableColumns>
  <x:tableStyleInfo name="TableStyleMedium2" showFirstColumn="0" showLastColumn="0" showRowStripes="1" showColumnStripes="0"/>
</x:table>
</file>

<file path=xl/tables/table4.xml><?xml version="1.0" encoding="utf-8"?>
<x:table xmlns:x="http://schemas.openxmlformats.org/spreadsheetml/2006/main" id="4" name="CapNordFacts" displayName="CapNordFacts" ref="A1:L31" headerRowCount="1" totalsRowCount="0" totalsRowShown="0">
  <x:tableColumns count="12">
    <x:tableColumn id="1" name="Année"/>
    <x:tableColumn id="2" name="Indicateur"/>
    <x:tableColumn id="3" name="Périmètre"/>
    <x:tableColumn id="4" name="Valeur"/>
    <x:tableColumn id="5" name="Unité"/>
    <x:tableColumn id="6" name="Définition"/>
    <x:tableColumn id="7" name="Type source"/>
    <x:tableColumn id="8" name="Source"/>
    <x:tableColumn id="9" name="Page"/>
    <x:tableColumn id="10" name="Qualité"/>
    <x:tableColumn id="11" name="Rôle"/>
    <x:tableColumn id="12" name="Note"/>
  </x:tableColumns>
  <x:tableStyleInfo name="TableStyleMedium2" showFirstColumn="0" showLastColumn="0" showRowStripes="1" showColumnStripes="0"/>
</x:table>
</file>

<file path=xl/tables/table5.xml><?xml version="1.0" encoding="utf-8"?>
<x:table xmlns:x="http://schemas.openxmlformats.org/spreadsheetml/2006/main" id="5" name="SectorTable" displayName="SectorTable" ref="A1:G5" headerRowCount="1" totalsRowCount="0" totalsRowShown="0">
  <x:tableColumns count="7">
    <x:tableColumn id="1" name="Année"/>
    <x:tableColumn id="2" name="Secteur"/>
    <x:tableColumn id="3" name="Commune"/>
    <x:tableColumn id="4" name="Abonnés"/>
    <x:tableColumn id="5" name="Volume facturé m³"/>
    <x:tableColumn id="6" name="Source"/>
    <x:tableColumn id="7" name="Page"/>
  </x:tableColumns>
  <x:tableStyleInfo name="TableStyleMedium2" showFirstColumn="0" showLastColumn="0" showRowStripes="1" showColumnStripes="0"/>
</x:table>
</file>

<file path=xl/tables/table6.xml><?xml version="1.0" encoding="utf-8"?>
<x:table xmlns:x="http://schemas.openxmlformats.org/spreadsheetml/2006/main" id="6" name="AnomalyTable" displayName="AnomalyTable" ref="A1:G6" headerRowCount="1" totalsRowCount="0" totalsRowShown="0">
  <x:tableColumns count="7">
    <x:tableColumn id="1" name="Année"/>
    <x:tableColumn id="2" name="Objet"/>
    <x:tableColumn id="3" name="Type anomalie"/>
    <x:tableColumn id="4" name="Sévérité"/>
    <x:tableColumn id="5" name="Observation"/>
    <x:tableColumn id="6" name="Décision pipeline"/>
    <x:tableColumn id="7" name="Source"/>
  </x:tableColumns>
  <x:tableStyleInfo name="TableStyleMedium2" showFirstColumn="0" showLastColumn="0" showRowStripes="1" showColumnStripes="0"/>
</x:table>
</file>

<file path=xl/tables/table7.xml><?xml version="1.0" encoding="utf-8"?>
<x:table xmlns:x="http://schemas.openxmlformats.org/spreadsheetml/2006/main" id="7" name="CoverageV2Table" displayName="CoverageV2Table" ref="A1:F19" headerRowCount="1" totalsRowCount="0" totalsRowShown="0">
  <x:tableColumns count="6">
    <x:tableColumn id="1" name="Année"/>
    <x:tableColumn id="2" name="Territoire"/>
    <x:tableColumn id="3" name="Domaine"/>
    <x:tableColumn id="4" name="Statut"/>
    <x:tableColumn id="5" name="Nb faits"/>
    <x:tableColumn id="6" name="Note"/>
  </x:tableColumns>
  <x:tableStyleInfo name="TableStyleMedium2" showFirstColumn="0" showLastColumn="0" showRowStripes="1" showColumnStripes="0"/>
</x:table>
</file>

<file path=xl/tables/table8.xml><?xml version="1.0" encoding="utf-8"?>
<x:table xmlns:x="http://schemas.openxmlformats.org/spreadsheetml/2006/main" id="8" name="CheckTable" displayName="CheckTable" ref="A1:G3" headerRowCount="1" totalsRowCount="0" totalsRowShown="0">
  <x:tableColumns count="7">
    <x:tableColumn id="1" name="Année"/>
    <x:tableColumn id="2" name="Contrôle"/>
    <x:tableColumn id="3" name="Calculé"/>
    <x:tableColumn id="4" name="Référence"/>
    <x:tableColumn id="5" name="Écart"/>
    <x:tableColumn id="6" name="Statut"/>
    <x:tableColumn id="7" name="Message"/>
  </x:tableColumns>
  <x:tableStyleInfo name="TableStyleMedium2" showFirstColumn="0" showLastColumn="0" showRowStripes="1" showColumnStripes="0"/>
</x:table>
</file>

<file path=xl/tables/table9.xml><?xml version="1.0" encoding="utf-8"?>
<x:table xmlns:x="http://schemas.openxmlformats.org/spreadsheetml/2006/main" id="9" name="Master2023V6" displayName="Master2023V6" ref="A1:L92" headerRowCount="1" totalsRowCount="0" totalsRowShown="0">
  <x:tableColumns count="12">
    <x:tableColumn id="1" name="Année"/>
    <x:tableColumn id="2" name="Indicateur"/>
    <x:tableColumn id="3" name="Domaine"/>
    <x:tableColumn id="4" name="Territoire"/>
    <x:tableColumn id="5" name="Périmètre"/>
    <x:tableColumn id="6" name="Valeur"/>
    <x:tableColumn id="7" name="Unité"/>
    <x:tableColumn id="8" name="Source"/>
    <x:tableColumn id="9" name="Qualité"/>
    <x:tableColumn id="10" name="Rôle"/>
    <x:tableColumn id="11" name="Couverture"/>
    <x:tableColumn id="12" name="Note"/>
  </x:tableColumns>
  <x:tableStyleInfo name="TableStyleMedium2" showFirstColumn="0" showLastColumn="0" showRowStripes="1" showColumnStripes="0"/>
</x:table>
</file>

<file path=xl/tables/table10.xml><?xml version="1.0" encoding="utf-8"?>
<x:table xmlns:x="http://schemas.openxmlformats.org/spreadsheetml/2006/main" id="10" name="Master2024V6" displayName="Master2024V6" ref="A1:L53" headerRowCount="1" totalsRowCount="0" totalsRowShown="0">
  <x:tableColumns count="12">
    <x:tableColumn id="1" name="Année"/>
    <x:tableColumn id="2" name="Indicateur"/>
    <x:tableColumn id="3" name="Domaine"/>
    <x:tableColumn id="4" name="Territoire"/>
    <x:tableColumn id="5" name="Périmètre"/>
    <x:tableColumn id="6" name="Valeur"/>
    <x:tableColumn id="7" name="Unité"/>
    <x:tableColumn id="8" name="Source"/>
    <x:tableColumn id="9" name="Qualité"/>
    <x:tableColumn id="10" name="Rôle"/>
    <x:tableColumn id="11" name="Couverture"/>
    <x:tableColumn id="12"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9c8f4c6068145fe" /></Relationships>
</file>

<file path=xl/worksheets/_rels/sheet2.xml.rels>&#65279;<?xml version="1.0" encoding="utf-8"?><Relationships xmlns="http://schemas.openxmlformats.org/package/2006/relationships"><Relationship Type="http://schemas.openxmlformats.org/officeDocument/2006/relationships/table" Target="/xl/tables/table1.xml" Id="R1bade8db263c4a7e" /></Relationships>
</file>

<file path=xl/worksheets/_rels/sheet3.xml.rels>&#65279;<?xml version="1.0" encoding="utf-8"?><Relationships xmlns="http://schemas.openxmlformats.org/package/2006/relationships"><Relationship Type="http://schemas.openxmlformats.org/officeDocument/2006/relationships/table" Target="/xl/tables/table2.xml" Id="Ra1eaceac68c64536" /></Relationships>
</file>

<file path=xl/worksheets/_rels/sheet4.xml.rels>&#65279;<?xml version="1.0" encoding="utf-8"?><Relationships xmlns="http://schemas.openxmlformats.org/package/2006/relationships"><Relationship Type="http://schemas.openxmlformats.org/officeDocument/2006/relationships/table" Target="/xl/tables/table3.xml" Id="Re8fb29002ef94a44" /></Relationships>
</file>

<file path=xl/worksheets/_rels/sheet5.xml.rels>&#65279;<?xml version="1.0" encoding="utf-8"?><Relationships xmlns="http://schemas.openxmlformats.org/package/2006/relationships"><Relationship Type="http://schemas.openxmlformats.org/officeDocument/2006/relationships/table" Target="/xl/tables/table4.xml" Id="R16d014eb77954807" /></Relationships>
</file>

<file path=xl/worksheets/_rels/sheet6.xml.rels>&#65279;<?xml version="1.0" encoding="utf-8"?><Relationships xmlns="http://schemas.openxmlformats.org/package/2006/relationships"><Relationship Type="http://schemas.openxmlformats.org/officeDocument/2006/relationships/table" Target="/xl/tables/table5.xml" Id="R2d9842df28294e79" /></Relationships>
</file>

<file path=xl/worksheets/_rels/sheet7.xml.rels>&#65279;<?xml version="1.0" encoding="utf-8"?><Relationships xmlns="http://schemas.openxmlformats.org/package/2006/relationships"><Relationship Type="http://schemas.openxmlformats.org/officeDocument/2006/relationships/table" Target="/xl/tables/table6.xml" Id="R51963553c69c4801" /></Relationships>
</file>

<file path=xl/worksheets/_rels/sheet8.xml.rels>&#65279;<?xml version="1.0" encoding="utf-8"?><Relationships xmlns="http://schemas.openxmlformats.org/package/2006/relationships"><Relationship Type="http://schemas.openxmlformats.org/officeDocument/2006/relationships/table" Target="/xl/tables/table7.xml" Id="Rcccaa4d4921246f9" /></Relationships>
</file>

<file path=xl/worksheets/_rels/sheet9.xml.rels>&#65279;<?xml version="1.0" encoding="utf-8"?><Relationships xmlns="http://schemas.openxmlformats.org/package/2006/relationships"><Relationship Type="http://schemas.openxmlformats.org/officeDocument/2006/relationships/table" Target="/xl/tables/table8.xml" Id="R73e1494b83664443" /></Relationships>
</file>

<file path=xl/worksheets/_rels/sheet10.xml.rels>&#65279;<?xml version="1.0" encoding="utf-8"?><Relationships xmlns="http://schemas.openxmlformats.org/package/2006/relationships"><Relationship Type="http://schemas.openxmlformats.org/officeDocument/2006/relationships/table" Target="/xl/tables/table9.xml" Id="R364c5344ca8c4be6" /></Relationships>
</file>

<file path=xl/worksheets/_rels/sheet11.xml.rels>&#65279;<?xml version="1.0" encoding="utf-8"?><Relationships xmlns="http://schemas.openxmlformats.org/package/2006/relationships"><Relationship Type="http://schemas.openxmlformats.org/officeDocument/2006/relationships/table" Target="/xl/tables/table10.xml" Id="Raa2fd6a730e84fd8" /></Relationships>
</file>

<file path=xl/worksheets/sheet1.xml><?xml version="1.0" encoding="utf-8"?>
<x:worksheet xmlns:x="http://schemas.openxmlformats.org/spreadsheetml/2006/main">
  <x:sheetFormatPr defaultRowHeight="15"/>
  <x:cols>
    <x:col min="1" max="1" width="30" hidden="0" customWidth="1"/>
    <x:col min="2" max="2" width="55" hidden="0" customWidth="1"/>
    <x:col min="3" max="3" width="4" hidden="0" customWidth="1"/>
    <x:col min="4" max="4" width="14" hidden="0" customWidth="1"/>
    <x:col min="5" max="5" width="22" hidden="0" customWidth="1"/>
    <x:col min="6" max="6" width="24" hidden="0" customWidth="1"/>
    <x:col min="7" max="7" width="18" hidden="0" customWidth="1"/>
    <x:col min="8" max="8" width="18" hidden="0" customWidth="1"/>
    <x:col min="9" max="9" width="14" hidden="0" customWidth="1"/>
  </x:cols>
  <x:sheetData>
    <x:row r="1" ht="30" customHeight="1">
      <x:c r="A1" s="4" t="str">
        <x:v>Réconciliation des périmètres AEP CAP Nord / Ex-SICSM — v6</x:v>
      </x:c>
      <x:c r="B1" s="4"/>
      <x:c r="C1" s="4"/>
      <x:c r="D1" s="4"/>
      <x:c r="E1" s="4"/>
      <x:c r="F1" s="4"/>
      <x:c r="G1" s="4"/>
      <x:c r="H1" s="4"/>
    </x:row>
    <x:row r="3">
      <x:c r="A3" s="12" t="str">
        <x:v>Périmètre administratif CAP Nord</x:v>
      </x:c>
      <x:c r="B3" s="13" t="str">
        <x:v>18 communes</x:v>
      </x:c>
      <x:c r="D3" s="18" t="str">
        <x:v>Année</x:v>
      </x:c>
      <x:c r="E3" s="18" t="str">
        <x:v>Contrat CAP Nord</x:v>
      </x:c>
      <x:c r="F3" s="18" t="str">
        <x:v>Robert-Trinité Ex-SICSM</x:v>
      </x:c>
      <x:c r="G3" s="18" t="str">
        <x:v>Somme calculée</x:v>
      </x:c>
      <x:c r="H3" s="18" t="str">
        <x:v>Total RPQS EPCI</x:v>
      </x:c>
      <x:c r="I3" s="17" t="str">
        <x:v>Contrôle</x:v>
      </x:c>
    </x:row>
    <x:row r="4">
      <x:c r="A4" s="12" t="str">
        <x:v>Modèle 2023–2024</x:v>
      </x:c>
      <x:c r="B4" s="13" t="str">
        <x:v>2 contrats AEP + secteurs infra-communaux à Robert/Trinité</x:v>
      </x:c>
      <x:c r="D4" s="22" t="n">
        <x:v>2023</x:v>
      </x:c>
      <x:c r="E4" s="22" t="n">
        <x:v>38372</x:v>
      </x:c>
      <x:c r="F4" s="22" t="n">
        <x:v>14266</x:v>
      </x:c>
      <x:c r="G4" s="22" t="n">
        <x:f>E4+F4</x:f>
        <x:v>52638</x:v>
      </x:c>
      <x:c r="H4" s="22" t="n">
        <x:v>52638</x:v>
      </x:c>
      <x:c r="I4" t="str">
        <x:f>IF(G4=H4,"OK","ERREUR")</x:f>
        <x:v>OK</x:v>
      </x:c>
    </x:row>
    <x:row r="5">
      <x:c r="A5" s="12" t="str">
        <x:v>Contrat CAP Nord</x:v>
      </x:c>
      <x:c r="B5" s="13" t="str">
        <x:v>16 communes pleines + Robert CN + Trinité CN (partiels)</x:v>
      </x:c>
      <x:c r="D5" s="22" t="n">
        <x:v>2024</x:v>
      </x:c>
      <x:c r="E5" s="22" t="n">
        <x:v>37332</x:v>
      </x:c>
      <x:c r="F5" s="22" t="n">
        <x:v>14414</x:v>
      </x:c>
      <x:c r="G5" s="22" t="n">
        <x:f>E5+F5</x:f>
        <x:v>51746</x:v>
      </x:c>
      <x:c r="H5" s="22" t="n">
        <x:v>51746</x:v>
      </x:c>
      <x:c r="I5" t="str">
        <x:f>IF(G5=H5,"OK","ERREUR")</x:f>
        <x:v>OK</x:v>
      </x:c>
    </x:row>
    <x:row r="6">
      <x:c r="A6" s="12" t="str">
        <x:v>Contrat Ex-SICSM</x:v>
      </x:c>
      <x:c r="B6" s="13" t="str">
        <x:v>12 communes CAESM + secteurs Robert/Trinité (partiels)</x:v>
      </x:c>
    </x:row>
    <x:row r="7">
      <x:c r="A7" s="12" t="str">
        <x:v>Règle de source périmètre</x:v>
      </x:c>
      <x:c r="B7" s="13" t="str">
        <x:v>RAD/RPQS &gt; libellé territorial SISPEA</x:v>
      </x:c>
    </x:row>
    <x:row r="8">
      <x:c r="A8" s="12" t="str">
        <x:v>P104/P105/P106</x:v>
      </x:c>
      <x:c r="B8" s="13" t="str">
        <x:v>Toujours attachés au périmètre hydraulique de calcul</x:v>
      </x:c>
    </x:row>
    <x:row r="9">
      <x:c r="A9" s="12" t="str">
        <x:v>CACEM 2024</x:v>
      </x:c>
      <x:c r="B9" s="13" t="str">
        <x:v>NON_PRODUIT_DECLARE</x:v>
      </x:c>
    </x:row>
    <x:row r="10">
      <x:c r="A10" s="12" t="str">
        <x:v>CAESM ANC 2024</x:v>
      </x:c>
      <x:c r="B10" s="13" t="str">
        <x:v>NON_PRODUIT_DECLARE</x:v>
      </x:c>
    </x:row>
    <x:row r="13">
      <x:c r="A13" s="24" t="str">
        <x:v>Conclusion méthodologique</x:v>
      </x:c>
      <x:c r="B13" s="24"/>
      <x:c r="C13" s="24"/>
      <x:c r="D13" s="24"/>
      <x:c r="E13" s="24"/>
      <x:c r="F13" s="24"/>
      <x:c r="G13" s="24"/>
      <x:c r="H13" s="24"/>
      <x:c r="I13" s="24"/>
    </x:row>
    <x:row r="14">
      <x:c r="A14" s="27" t="str">
        <x:v>L'intuition d'un problème SISPEA est confirmée, mais la réalité est plus fine qu'un simple « Robert-Trinité = Ex-SICSM » : les deux communes sont partagées entre deux périmètres contractuels.</x:v>
      </x:c>
      <x:c r="B14" s="27"/>
      <x:c r="C14" s="27"/>
      <x:c r="D14" s="27"/>
      <x:c r="E14" s="27"/>
      <x:c r="F14" s="27"/>
      <x:c r="G14" s="27"/>
      <x:c r="H14" s="27"/>
      <x:c r="I14" s="27"/>
    </x:row>
    <x:row r="15">
      <x:c r="A15" s="31" t="str">
        <x:v>Le RAD CAP Nord prouve l'existence de secteurs `Robert CN` et `Trinité CN`. Ils ne doivent pas être confondus avec les secteurs Robert-Trinité gérés au titre de l'Ex-SICSM.</x:v>
      </x:c>
      <x:c r="B15" s="31"/>
      <x:c r="C15" s="31"/>
      <x:c r="D15" s="31"/>
      <x:c r="E15" s="31"/>
      <x:c r="F15" s="31"/>
      <x:c r="G15" s="31"/>
      <x:c r="H15" s="31"/>
      <x:c r="I15" s="31"/>
    </x:row>
    <x:row r="16">
      <x:c r="A16" s="27" t="str">
        <x:v>Les abonnés se réconcilient exactement au niveau EPCI : 38 372 + 14 266 = 52 638 en 2023 ; 37 332 + 14 414 = 51 746 en 2024.</x:v>
      </x:c>
      <x:c r="B16" s="27"/>
      <x:c r="C16" s="27"/>
      <x:c r="D16" s="27"/>
      <x:c r="E16" s="27"/>
      <x:c r="F16" s="27"/>
      <x:c r="G16" s="27"/>
      <x:c r="H16" s="27"/>
      <x:c r="I16" s="27"/>
    </x:row>
    <x:row r="17">
      <x:c r="A17" s="31" t="str">
        <x:v>Le Plan Eau DOM signale explicitement des incohérences SISPEA sur Robert/Trinité, dont des données identiques à la CAESM.</x:v>
      </x:c>
      <x:c r="B17" s="31"/>
      <x:c r="C17" s="31"/>
      <x:c r="D17" s="31"/>
      <x:c r="E17" s="31"/>
      <x:c r="F17" s="31"/>
      <x:c r="G17" s="31"/>
      <x:c r="H17" s="31"/>
      <x:c r="I17" s="31"/>
    </x:row>
    <x:row r="18">
      <x:c r="A18" s="27" t="str">
        <x:v>Les rendements et ILP Ex-SICSM restent au niveau `EX_SICSM_DSP_2015_2027` lorsque le RAD indique qu'ils ne sont pas ventilables.</x:v>
      </x:c>
      <x:c r="B18" s="27"/>
      <x:c r="C18" s="27"/>
      <x:c r="D18" s="27"/>
      <x:c r="E18" s="27"/>
      <x:c r="F18" s="27"/>
      <x:c r="G18" s="27"/>
      <x:c r="H18" s="27"/>
      <x:c r="I18" s="27"/>
    </x:row>
  </x:sheetData>
  <x:mergeCells>
    <x:mergeCell ref="A1:H1"/>
    <x:mergeCell ref="A13:I13"/>
    <x:mergeCell ref="A14:I14"/>
    <x:mergeCell ref="A15:I15"/>
    <x:mergeCell ref="A16:I16"/>
    <x:mergeCell ref="A17:I17"/>
    <x:mergeCell ref="A18:I18"/>
  </x:mergeCells>
  <x:conditionalFormatting sqref="I4:I5">
    <x:cfRule type="expression" dxfId="0" priority="1">
      <x:formula>I4="OK"</x:formula>
    </x:cfRule>
    <x:cfRule type="expression" dxfId="1" priority="2">
      <x:formula>I4="ERREUR"</x:formula>
    </x:cfRule>
  </x:conditionalFormatting>
  <x:pageMargins left="0.7" right="0.7" top="0.75" bottom="0.75" header="0.3" footer="0.3"/>
  <x:drawing xmlns:r="http://schemas.openxmlformats.org/officeDocument/2006/relationships" r:id="R59c8f4c6068145fe"/>
</x:worksheet>
</file>

<file path=xl/worksheets/sheet2.xml><?xml version="1.0" encoding="utf-8"?>
<x:worksheet xmlns:x="http://schemas.openxmlformats.org/spreadsheetml/2006/main">
  <x:sheetFormatPr defaultRowHeight="15"/>
  <x:cols>
    <x:col min="1" max="1" width="14" hidden="0" customWidth="1"/>
    <x:col min="2" max="2" width="38" hidden="0" customWidth="1"/>
    <x:col min="3" max="3" width="14" hidden="0" customWidth="1"/>
    <x:col min="4" max="4" width="24" hidden="0" customWidth="1"/>
    <x:col min="5" max="5" width="14" hidden="0" customWidth="1"/>
    <x:col min="6" max="6" width="72" hidden="0" customWidth="1"/>
  </x:cols>
  <x:sheetData>
    <x:row r="1">
      <x:c r="A1" s="34" t="str">
        <x:v>EPCI</x:v>
      </x:c>
      <x:c r="B1" s="34" t="str">
        <x:v>Nom EPCI</x:v>
      </x:c>
      <x:c r="C1" s="34" t="str">
        <x:v>Code INSEE</x:v>
      </x:c>
      <x:c r="D1" s="34" t="str">
        <x:v>Commune</x:v>
      </x:c>
      <x:c r="E1" s="34" t="str">
        <x:v>Valide depuis</x:v>
      </x:c>
      <x:c r="F1" s="34" t="str">
        <x:v>Source</x:v>
      </x:c>
    </x:row>
    <x:row r="2">
      <x:c r="A2" s="13" t="str">
        <x:v>CACEM</x:v>
      </x:c>
      <x:c r="B2" s="13" t="str">
        <x:v>CA du Centre de la Martinique</x:v>
      </x:c>
      <x:c r="C2" s="13" t="str">
        <x:v>97209</x:v>
      </x:c>
      <x:c r="D2" s="13" t="str">
        <x:v>Fort-de-France</x:v>
      </x:c>
      <x:c r="E2" s="13" t="str">
        <x:v>2017-01-01</x:v>
      </x:c>
      <x:c r="F2" s="13" t="str">
        <x:v>https://www.banatic.interieur.gouv.fr/intercommunalite/249720061-ca-du-centre-de-la-martinique</x:v>
      </x:c>
    </x:row>
    <x:row r="3">
      <x:c r="A3" s="13" t="str">
        <x:v>CACEM</x:v>
      </x:c>
      <x:c r="B3" s="13" t="str">
        <x:v>CA du Centre de la Martinique</x:v>
      </x:c>
      <x:c r="C3" s="13" t="str">
        <x:v>97213</x:v>
      </x:c>
      <x:c r="D3" s="13" t="str">
        <x:v>Le Lamentin</x:v>
      </x:c>
      <x:c r="E3" s="13" t="str">
        <x:v>2017-01-01</x:v>
      </x:c>
      <x:c r="F3" s="13" t="str">
        <x:v>https://www.banatic.interieur.gouv.fr/intercommunalite/249720061-ca-du-centre-de-la-martinique</x:v>
      </x:c>
    </x:row>
    <x:row r="4">
      <x:c r="A4" s="13" t="str">
        <x:v>CACEM</x:v>
      </x:c>
      <x:c r="B4" s="13" t="str">
        <x:v>CA du Centre de la Martinique</x:v>
      </x:c>
      <x:c r="C4" s="13" t="str">
        <x:v>97224</x:v>
      </x:c>
      <x:c r="D4" s="13" t="str">
        <x:v>Saint-Joseph</x:v>
      </x:c>
      <x:c r="E4" s="13" t="str">
        <x:v>2017-01-01</x:v>
      </x:c>
      <x:c r="F4" s="13" t="str">
        <x:v>https://www.banatic.interieur.gouv.fr/intercommunalite/249720061-ca-du-centre-de-la-martinique</x:v>
      </x:c>
    </x:row>
    <x:row r="5">
      <x:c r="A5" s="13" t="str">
        <x:v>CACEM</x:v>
      </x:c>
      <x:c r="B5" s="13" t="str">
        <x:v>CA du Centre de la Martinique</x:v>
      </x:c>
      <x:c r="C5" s="13" t="str">
        <x:v>97229</x:v>
      </x:c>
      <x:c r="D5" s="13" t="str">
        <x:v>Schœlcher</x:v>
      </x:c>
      <x:c r="E5" s="13" t="str">
        <x:v>2017-01-01</x:v>
      </x:c>
      <x:c r="F5" s="13" t="str">
        <x:v>https://www.banatic.interieur.gouv.fr/intercommunalite/249720061-ca-du-centre-de-la-martinique</x:v>
      </x:c>
    </x:row>
    <x:row r="6">
      <x:c r="A6" s="13" t="str">
        <x:v>CAESM</x:v>
      </x:c>
      <x:c r="B6" s="13" t="str">
        <x:v>CA de l'Espace Sud de la Martinique</x:v>
      </x:c>
      <x:c r="C6" s="13" t="str">
        <x:v>97202</x:v>
      </x:c>
      <x:c r="D6" s="13" t="str">
        <x:v>Les Anses-d'Arlet</x:v>
      </x:c>
      <x:c r="E6" s="13" t="str">
        <x:v>2017-01-01</x:v>
      </x:c>
      <x:c r="F6" s="13" t="str">
        <x:v>https://www.banatic.interieur.gouv.fr/intercommunalite/249720053-ca-de-l-espace-sud-de-la-martinique</x:v>
      </x:c>
    </x:row>
    <x:row r="7">
      <x:c r="A7" s="13" t="str">
        <x:v>CAESM</x:v>
      </x:c>
      <x:c r="B7" s="13" t="str">
        <x:v>CA de l'Espace Sud de la Martinique</x:v>
      </x:c>
      <x:c r="C7" s="13" t="str">
        <x:v>97206</x:v>
      </x:c>
      <x:c r="D7" s="13" t="str">
        <x:v>Le Diamant</x:v>
      </x:c>
      <x:c r="E7" s="13" t="str">
        <x:v>2017-01-01</x:v>
      </x:c>
      <x:c r="F7" s="13" t="str">
        <x:v>https://www.banatic.interieur.gouv.fr/intercommunalite/249720053-ca-de-l-espace-sud-de-la-martinique</x:v>
      </x:c>
    </x:row>
    <x:row r="8">
      <x:c r="A8" s="13" t="str">
        <x:v>CAESM</x:v>
      </x:c>
      <x:c r="B8" s="13" t="str">
        <x:v>CA de l'Espace Sud de la Martinique</x:v>
      </x:c>
      <x:c r="C8" s="13" t="str">
        <x:v>97207</x:v>
      </x:c>
      <x:c r="D8" s="13" t="str">
        <x:v>Ducos</x:v>
      </x:c>
      <x:c r="E8" s="13" t="str">
        <x:v>2017-01-01</x:v>
      </x:c>
      <x:c r="F8" s="13" t="str">
        <x:v>https://www.banatic.interieur.gouv.fr/intercommunalite/249720053-ca-de-l-espace-sud-de-la-martinique</x:v>
      </x:c>
    </x:row>
    <x:row r="9">
      <x:c r="A9" s="13" t="str">
        <x:v>CAESM</x:v>
      </x:c>
      <x:c r="B9" s="13" t="str">
        <x:v>CA de l'Espace Sud de la Martinique</x:v>
      </x:c>
      <x:c r="C9" s="13" t="str">
        <x:v>97210</x:v>
      </x:c>
      <x:c r="D9" s="13" t="str">
        <x:v>Le François</x:v>
      </x:c>
      <x:c r="E9" s="13" t="str">
        <x:v>2017-01-01</x:v>
      </x:c>
      <x:c r="F9" s="13" t="str">
        <x:v>https://www.banatic.interieur.gouv.fr/intercommunalite/249720053-ca-de-l-espace-sud-de-la-martinique</x:v>
      </x:c>
    </x:row>
    <x:row r="10">
      <x:c r="A10" s="13" t="str">
        <x:v>CAESM</x:v>
      </x:c>
      <x:c r="B10" s="13" t="str">
        <x:v>CA de l'Espace Sud de la Martinique</x:v>
      </x:c>
      <x:c r="C10" s="13" t="str">
        <x:v>97217</x:v>
      </x:c>
      <x:c r="D10" s="13" t="str">
        <x:v>Le Marin</x:v>
      </x:c>
      <x:c r="E10" s="13" t="str">
        <x:v>2017-01-01</x:v>
      </x:c>
      <x:c r="F10" s="13" t="str">
        <x:v>https://www.banatic.interieur.gouv.fr/intercommunalite/249720053-ca-de-l-espace-sud-de-la-martinique</x:v>
      </x:c>
    </x:row>
    <x:row r="11">
      <x:c r="A11" s="13" t="str">
        <x:v>CAESM</x:v>
      </x:c>
      <x:c r="B11" s="13" t="str">
        <x:v>CA de l'Espace Sud de la Martinique</x:v>
      </x:c>
      <x:c r="C11" s="13" t="str">
        <x:v>97220</x:v>
      </x:c>
      <x:c r="D11" s="13" t="str">
        <x:v>Rivière-Pilote</x:v>
      </x:c>
      <x:c r="E11" s="13" t="str">
        <x:v>2017-01-01</x:v>
      </x:c>
      <x:c r="F11" s="13" t="str">
        <x:v>https://www.banatic.interieur.gouv.fr/intercommunalite/249720053-ca-de-l-espace-sud-de-la-martinique</x:v>
      </x:c>
    </x:row>
    <x:row r="12">
      <x:c r="A12" s="13" t="str">
        <x:v>CAESM</x:v>
      </x:c>
      <x:c r="B12" s="13" t="str">
        <x:v>CA de l'Espace Sud de la Martinique</x:v>
      </x:c>
      <x:c r="C12" s="13" t="str">
        <x:v>97221</x:v>
      </x:c>
      <x:c r="D12" s="13" t="str">
        <x:v>Rivière-Salée</x:v>
      </x:c>
      <x:c r="E12" s="13" t="str">
        <x:v>2017-01-01</x:v>
      </x:c>
      <x:c r="F12" s="13" t="str">
        <x:v>https://www.banatic.interieur.gouv.fr/intercommunalite/249720053-ca-de-l-espace-sud-de-la-martinique</x:v>
      </x:c>
    </x:row>
    <x:row r="13">
      <x:c r="A13" s="13" t="str">
        <x:v>CAESM</x:v>
      </x:c>
      <x:c r="B13" s="13" t="str">
        <x:v>CA de l'Espace Sud de la Martinique</x:v>
      </x:c>
      <x:c r="C13" s="13" t="str">
        <x:v>97223</x:v>
      </x:c>
      <x:c r="D13" s="13" t="str">
        <x:v>Saint-Esprit</x:v>
      </x:c>
      <x:c r="E13" s="13" t="str">
        <x:v>2017-01-01</x:v>
      </x:c>
      <x:c r="F13" s="13" t="str">
        <x:v>https://www.banatic.interieur.gouv.fr/intercommunalite/249720053-ca-de-l-espace-sud-de-la-martinique</x:v>
      </x:c>
    </x:row>
    <x:row r="14">
      <x:c r="A14" s="13" t="str">
        <x:v>CAESM</x:v>
      </x:c>
      <x:c r="B14" s="13" t="str">
        <x:v>CA de l'Espace Sud de la Martinique</x:v>
      </x:c>
      <x:c r="C14" s="13" t="str">
        <x:v>97226</x:v>
      </x:c>
      <x:c r="D14" s="13" t="str">
        <x:v>Sainte-Anne</x:v>
      </x:c>
      <x:c r="E14" s="13" t="str">
        <x:v>2017-01-01</x:v>
      </x:c>
      <x:c r="F14" s="13" t="str">
        <x:v>https://www.banatic.interieur.gouv.fr/intercommunalite/249720053-ca-de-l-espace-sud-de-la-martinique</x:v>
      </x:c>
    </x:row>
    <x:row r="15">
      <x:c r="A15" s="13" t="str">
        <x:v>CAESM</x:v>
      </x:c>
      <x:c r="B15" s="13" t="str">
        <x:v>CA de l'Espace Sud de la Martinique</x:v>
      </x:c>
      <x:c r="C15" s="13" t="str">
        <x:v>97227</x:v>
      </x:c>
      <x:c r="D15" s="13" t="str">
        <x:v>Sainte-Luce</x:v>
      </x:c>
      <x:c r="E15" s="13" t="str">
        <x:v>2017-01-01</x:v>
      </x:c>
      <x:c r="F15" s="13" t="str">
        <x:v>https://www.banatic.interieur.gouv.fr/intercommunalite/249720053-ca-de-l-espace-sud-de-la-martinique</x:v>
      </x:c>
    </x:row>
    <x:row r="16">
      <x:c r="A16" s="13" t="str">
        <x:v>CAESM</x:v>
      </x:c>
      <x:c r="B16" s="13" t="str">
        <x:v>CA de l'Espace Sud de la Martinique</x:v>
      </x:c>
      <x:c r="C16" s="13" t="str">
        <x:v>97231</x:v>
      </x:c>
      <x:c r="D16" s="13" t="str">
        <x:v>Les Trois-Îlets</x:v>
      </x:c>
      <x:c r="E16" s="13" t="str">
        <x:v>2017-01-01</x:v>
      </x:c>
      <x:c r="F16" s="13" t="str">
        <x:v>https://www.banatic.interieur.gouv.fr/intercommunalite/249720053-ca-de-l-espace-sud-de-la-martinique</x:v>
      </x:c>
    </x:row>
    <x:row r="17">
      <x:c r="A17" s="13" t="str">
        <x:v>CAESM</x:v>
      </x:c>
      <x:c r="B17" s="13" t="str">
        <x:v>CA de l'Espace Sud de la Martinique</x:v>
      </x:c>
      <x:c r="C17" s="13" t="str">
        <x:v>97232</x:v>
      </x:c>
      <x:c r="D17" s="13" t="str">
        <x:v>Le Vauclin</x:v>
      </x:c>
      <x:c r="E17" s="13" t="str">
        <x:v>2017-01-01</x:v>
      </x:c>
      <x:c r="F17" s="13" t="str">
        <x:v>https://www.banatic.interieur.gouv.fr/intercommunalite/249720053-ca-de-l-espace-sud-de-la-martinique</x:v>
      </x:c>
    </x:row>
    <x:row r="18">
      <x:c r="A18" s="13" t="str">
        <x:v>CAP_NORD</x:v>
      </x:c>
      <x:c r="B18" s="13" t="str">
        <x:v>CA du Pays Nord Martinique</x:v>
      </x:c>
      <x:c r="C18" s="13" t="str">
        <x:v>97201</x:v>
      </x:c>
      <x:c r="D18" s="13" t="str">
        <x:v>L'Ajoupa-Bouillon</x:v>
      </x:c>
      <x:c r="E18" s="13" t="str">
        <x:v>2017-01-01</x:v>
      </x:c>
      <x:c r="F18" s="13" t="str">
        <x:v>https://www.banatic.interieur.gouv.fr/intercommunalite/200041788-ca-du-pays-nord-martinique</x:v>
      </x:c>
    </x:row>
    <x:row r="19">
      <x:c r="A19" s="13" t="str">
        <x:v>CAP_NORD</x:v>
      </x:c>
      <x:c r="B19" s="13" t="str">
        <x:v>CA du Pays Nord Martinique</x:v>
      </x:c>
      <x:c r="C19" s="13" t="str">
        <x:v>97203</x:v>
      </x:c>
      <x:c r="D19" s="13" t="str">
        <x:v>Basse-Pointe</x:v>
      </x:c>
      <x:c r="E19" s="13" t="str">
        <x:v>2017-01-01</x:v>
      </x:c>
      <x:c r="F19" s="13" t="str">
        <x:v>https://www.banatic.interieur.gouv.fr/intercommunalite/200041788-ca-du-pays-nord-martinique</x:v>
      </x:c>
    </x:row>
    <x:row r="20">
      <x:c r="A20" s="13" t="str">
        <x:v>CAP_NORD</x:v>
      </x:c>
      <x:c r="B20" s="13" t="str">
        <x:v>CA du Pays Nord Martinique</x:v>
      </x:c>
      <x:c r="C20" s="13" t="str">
        <x:v>97234</x:v>
      </x:c>
      <x:c r="D20" s="13" t="str">
        <x:v>Bellefontaine</x:v>
      </x:c>
      <x:c r="E20" s="13" t="str">
        <x:v>2017-01-01</x:v>
      </x:c>
      <x:c r="F20" s="13" t="str">
        <x:v>https://www.banatic.interieur.gouv.fr/intercommunalite/200041788-ca-du-pays-nord-martinique</x:v>
      </x:c>
    </x:row>
    <x:row r="21">
      <x:c r="A21" s="13" t="str">
        <x:v>CAP_NORD</x:v>
      </x:c>
      <x:c r="B21" s="13" t="str">
        <x:v>CA du Pays Nord Martinique</x:v>
      </x:c>
      <x:c r="C21" s="13" t="str">
        <x:v>97205</x:v>
      </x:c>
      <x:c r="D21" s="13" t="str">
        <x:v>Case-Pilote</x:v>
      </x:c>
      <x:c r="E21" s="13" t="str">
        <x:v>2017-01-01</x:v>
      </x:c>
      <x:c r="F21" s="13" t="str">
        <x:v>https://www.banatic.interieur.gouv.fr/intercommunalite/200041788-ca-du-pays-nord-martinique</x:v>
      </x:c>
    </x:row>
    <x:row r="22">
      <x:c r="A22" s="13" t="str">
        <x:v>CAP_NORD</x:v>
      </x:c>
      <x:c r="B22" s="13" t="str">
        <x:v>CA du Pays Nord Martinique</x:v>
      </x:c>
      <x:c r="C22" s="13" t="str">
        <x:v>97208</x:v>
      </x:c>
      <x:c r="D22" s="13" t="str">
        <x:v>Fonds-Saint-Denis</x:v>
      </x:c>
      <x:c r="E22" s="13" t="str">
        <x:v>2017-01-01</x:v>
      </x:c>
      <x:c r="F22" s="13" t="str">
        <x:v>https://www.banatic.interieur.gouv.fr/intercommunalite/200041788-ca-du-pays-nord-martinique</x:v>
      </x:c>
    </x:row>
    <x:row r="23">
      <x:c r="A23" s="13" t="str">
        <x:v>CAP_NORD</x:v>
      </x:c>
      <x:c r="B23" s="13" t="str">
        <x:v>CA du Pays Nord Martinique</x:v>
      </x:c>
      <x:c r="C23" s="13" t="str">
        <x:v>97211</x:v>
      </x:c>
      <x:c r="D23" s="13" t="str">
        <x:v>Grand'Rivière</x:v>
      </x:c>
      <x:c r="E23" s="13" t="str">
        <x:v>2017-01-01</x:v>
      </x:c>
      <x:c r="F23" s="13" t="str">
        <x:v>https://www.banatic.interieur.gouv.fr/intercommunalite/200041788-ca-du-pays-nord-martinique</x:v>
      </x:c>
    </x:row>
    <x:row r="24">
      <x:c r="A24" s="13" t="str">
        <x:v>CAP_NORD</x:v>
      </x:c>
      <x:c r="B24" s="13" t="str">
        <x:v>CA du Pays Nord Martinique</x:v>
      </x:c>
      <x:c r="C24" s="13" t="str">
        <x:v>97212</x:v>
      </x:c>
      <x:c r="D24" s="13" t="str">
        <x:v>Gros-Morne</x:v>
      </x:c>
      <x:c r="E24" s="13" t="str">
        <x:v>2017-01-01</x:v>
      </x:c>
      <x:c r="F24" s="13" t="str">
        <x:v>https://www.banatic.interieur.gouv.fr/intercommunalite/200041788-ca-du-pays-nord-martinique</x:v>
      </x:c>
    </x:row>
    <x:row r="25">
      <x:c r="A25" s="13" t="str">
        <x:v>CAP_NORD</x:v>
      </x:c>
      <x:c r="B25" s="13" t="str">
        <x:v>CA du Pays Nord Martinique</x:v>
      </x:c>
      <x:c r="C25" s="13" t="str">
        <x:v>97230</x:v>
      </x:c>
      <x:c r="D25" s="13" t="str">
        <x:v>La Trinité</x:v>
      </x:c>
      <x:c r="E25" s="13" t="str">
        <x:v>2017-01-01</x:v>
      </x:c>
      <x:c r="F25" s="13" t="str">
        <x:v>https://www.banatic.interieur.gouv.fr/intercommunalite/200041788-ca-du-pays-nord-martinique</x:v>
      </x:c>
    </x:row>
    <x:row r="26">
      <x:c r="A26" s="13" t="str">
        <x:v>CAP_NORD</x:v>
      </x:c>
      <x:c r="B26" s="13" t="str">
        <x:v>CA du Pays Nord Martinique</x:v>
      </x:c>
      <x:c r="C26" s="13" t="str">
        <x:v>97204</x:v>
      </x:c>
      <x:c r="D26" s="13" t="str">
        <x:v>Le Carbet</x:v>
      </x:c>
      <x:c r="E26" s="13" t="str">
        <x:v>2017-01-01</x:v>
      </x:c>
      <x:c r="F26" s="13" t="str">
        <x:v>https://www.banatic.interieur.gouv.fr/intercommunalite/200041788-ca-du-pays-nord-martinique</x:v>
      </x:c>
    </x:row>
    <x:row r="27">
      <x:c r="A27" s="13" t="str">
        <x:v>CAP_NORD</x:v>
      </x:c>
      <x:c r="B27" s="13" t="str">
        <x:v>CA du Pays Nord Martinique</x:v>
      </x:c>
      <x:c r="C27" s="13" t="str">
        <x:v>97214</x:v>
      </x:c>
      <x:c r="D27" s="13" t="str">
        <x:v>Le Lorrain</x:v>
      </x:c>
      <x:c r="E27" s="13" t="str">
        <x:v>2017-01-01</x:v>
      </x:c>
      <x:c r="F27" s="13" t="str">
        <x:v>https://www.banatic.interieur.gouv.fr/intercommunalite/200041788-ca-du-pays-nord-martinique</x:v>
      </x:c>
    </x:row>
    <x:row r="28">
      <x:c r="A28" s="13" t="str">
        <x:v>CAP_NORD</x:v>
      </x:c>
      <x:c r="B28" s="13" t="str">
        <x:v>CA du Pays Nord Martinique</x:v>
      </x:c>
      <x:c r="C28" s="13" t="str">
        <x:v>97216</x:v>
      </x:c>
      <x:c r="D28" s="13" t="str">
        <x:v>Le Marigot</x:v>
      </x:c>
      <x:c r="E28" s="13" t="str">
        <x:v>2017-01-01</x:v>
      </x:c>
      <x:c r="F28" s="13" t="str">
        <x:v>https://www.banatic.interieur.gouv.fr/intercommunalite/200041788-ca-du-pays-nord-martinique</x:v>
      </x:c>
    </x:row>
    <x:row r="29">
      <x:c r="A29" s="13" t="str">
        <x:v>CAP_NORD</x:v>
      </x:c>
      <x:c r="B29" s="13" t="str">
        <x:v>CA du Pays Nord Martinique</x:v>
      </x:c>
      <x:c r="C29" s="13" t="str">
        <x:v>97218</x:v>
      </x:c>
      <x:c r="D29" s="13" t="str">
        <x:v>Le Morne-Rouge</x:v>
      </x:c>
      <x:c r="E29" s="13" t="str">
        <x:v>2017-01-01</x:v>
      </x:c>
      <x:c r="F29" s="13" t="str">
        <x:v>https://www.banatic.interieur.gouv.fr/intercommunalite/200041788-ca-du-pays-nord-martinique</x:v>
      </x:c>
    </x:row>
    <x:row r="30">
      <x:c r="A30" s="13" t="str">
        <x:v>CAP_NORD</x:v>
      </x:c>
      <x:c r="B30" s="13" t="str">
        <x:v>CA du Pays Nord Martinique</x:v>
      </x:c>
      <x:c r="C30" s="13" t="str">
        <x:v>97233</x:v>
      </x:c>
      <x:c r="D30" s="13" t="str">
        <x:v>Le Morne-Vert</x:v>
      </x:c>
      <x:c r="E30" s="13" t="str">
        <x:v>2017-01-01</x:v>
      </x:c>
      <x:c r="F30" s="13" t="str">
        <x:v>https://www.banatic.interieur.gouv.fr/intercommunalite/200041788-ca-du-pays-nord-martinique</x:v>
      </x:c>
    </x:row>
    <x:row r="31">
      <x:c r="A31" s="13" t="str">
        <x:v>CAP_NORD</x:v>
      </x:c>
      <x:c r="B31" s="13" t="str">
        <x:v>CA du Pays Nord Martinique</x:v>
      </x:c>
      <x:c r="C31" s="13" t="str">
        <x:v>97219</x:v>
      </x:c>
      <x:c r="D31" s="13" t="str">
        <x:v>Le Prêcheur</x:v>
      </x:c>
      <x:c r="E31" s="13" t="str">
        <x:v>2017-01-01</x:v>
      </x:c>
      <x:c r="F31" s="13" t="str">
        <x:v>https://www.banatic.interieur.gouv.fr/intercommunalite/200041788-ca-du-pays-nord-martinique</x:v>
      </x:c>
    </x:row>
    <x:row r="32">
      <x:c r="A32" s="13" t="str">
        <x:v>CAP_NORD</x:v>
      </x:c>
      <x:c r="B32" s="13" t="str">
        <x:v>CA du Pays Nord Martinique</x:v>
      </x:c>
      <x:c r="C32" s="13" t="str">
        <x:v>97222</x:v>
      </x:c>
      <x:c r="D32" s="13" t="str">
        <x:v>Le Robert</x:v>
      </x:c>
      <x:c r="E32" s="13" t="str">
        <x:v>2017-01-01</x:v>
      </x:c>
      <x:c r="F32" s="13" t="str">
        <x:v>https://www.banatic.interieur.gouv.fr/intercommunalite/200041788-ca-du-pays-nord-martinique</x:v>
      </x:c>
    </x:row>
    <x:row r="33">
      <x:c r="A33" s="13" t="str">
        <x:v>CAP_NORD</x:v>
      </x:c>
      <x:c r="B33" s="13" t="str">
        <x:v>CA du Pays Nord Martinique</x:v>
      </x:c>
      <x:c r="C33" s="13" t="str">
        <x:v>97215</x:v>
      </x:c>
      <x:c r="D33" s="13" t="str">
        <x:v>Macouba</x:v>
      </x:c>
      <x:c r="E33" s="13" t="str">
        <x:v>2017-01-01</x:v>
      </x:c>
      <x:c r="F33" s="13" t="str">
        <x:v>https://www.banatic.interieur.gouv.fr/intercommunalite/200041788-ca-du-pays-nord-martinique</x:v>
      </x:c>
    </x:row>
    <x:row r="34">
      <x:c r="A34" s="13" t="str">
        <x:v>CAP_NORD</x:v>
      </x:c>
      <x:c r="B34" s="13" t="str">
        <x:v>CA du Pays Nord Martinique</x:v>
      </x:c>
      <x:c r="C34" s="13" t="str">
        <x:v>97225</x:v>
      </x:c>
      <x:c r="D34" s="13" t="str">
        <x:v>Saint-Pierre</x:v>
      </x:c>
      <x:c r="E34" s="13" t="str">
        <x:v>2017-01-01</x:v>
      </x:c>
      <x:c r="F34" s="13" t="str">
        <x:v>https://www.banatic.interieur.gouv.fr/intercommunalite/200041788-ca-du-pays-nord-martinique</x:v>
      </x:c>
    </x:row>
    <x:row r="35">
      <x:c r="A35" s="13" t="str">
        <x:v>CAP_NORD</x:v>
      </x:c>
      <x:c r="B35" s="13" t="str">
        <x:v>CA du Pays Nord Martinique</x:v>
      </x:c>
      <x:c r="C35" s="13" t="str">
        <x:v>97228</x:v>
      </x:c>
      <x:c r="D35" s="13" t="str">
        <x:v>Sainte-Marie</x:v>
      </x:c>
      <x:c r="E35" s="13" t="str">
        <x:v>2017-01-01</x:v>
      </x:c>
      <x:c r="F35" s="13" t="str">
        <x:v>https://www.banatic.interieur.gouv.fr/intercommunalite/200041788-ca-du-pays-nord-martinique</x:v>
      </x:c>
    </x:row>
  </x:sheetData>
  <x:pageMargins left="0.7" right="0.7" top="0.75" bottom="0.75" header="0.3" footer="0.3"/>
  <x:tableParts count="1">
    <x:tablePart xmlns:r="http://schemas.openxmlformats.org/officeDocument/2006/relationships" r:id="R1bade8db263c4a7e"/>
  </x:tableParts>
</x:worksheet>
</file>

<file path=xl/worksheets/sheet3.xml><?xml version="1.0" encoding="utf-8"?>
<x:worksheet xmlns:x="http://schemas.openxmlformats.org/spreadsheetml/2006/main">
  <x:sheetFormatPr defaultRowHeight="15"/>
  <x:cols>
    <x:col min="1" max="1" width="30" hidden="0" customWidth="1"/>
    <x:col min="2" max="2" width="42" hidden="0" customWidth="1"/>
    <x:col min="3" max="3" width="18" hidden="0" customWidth="1"/>
    <x:col min="4" max="4" width="14" hidden="0" customWidth="1"/>
    <x:col min="5" max="5" width="14" hidden="0" customWidth="1"/>
    <x:col min="6" max="6" width="24" hidden="0" customWidth="1"/>
    <x:col min="7" max="7" width="20" hidden="0" customWidth="1"/>
    <x:col min="8" max="8" width="65" hidden="0" customWidth="1"/>
    <x:col min="9" max="9" width="72" hidden="0" customWidth="1"/>
  </x:cols>
  <x:sheetData>
    <x:row r="1">
      <x:c r="A1" s="34" t="str">
        <x:v>ID périmètre</x:v>
      </x:c>
      <x:c r="B1" s="34" t="str">
        <x:v>Libellé</x:v>
      </x:c>
      <x:c r="C1" s="34" t="str">
        <x:v>Type</x:v>
      </x:c>
      <x:c r="D1" s="34" t="str">
        <x:v>Début</x:v>
      </x:c>
      <x:c r="E1" s="34" t="str">
        <x:v>Fin</x:v>
      </x:c>
      <x:c r="F1" s="34" t="str">
        <x:v>Autorité</x:v>
      </x:c>
      <x:c r="G1" s="34" t="str">
        <x:v>Exploitant</x:v>
      </x:c>
      <x:c r="H1" s="34" t="str">
        <x:v>Notes</x:v>
      </x:c>
      <x:c r="I1" s="34" t="str">
        <x:v>Source</x:v>
      </x:c>
    </x:row>
    <x:row r="2">
      <x:c r="A2" s="13" t="str">
        <x:v>CACEM_EPCI</x:v>
      </x:c>
      <x:c r="B2" s="13" t="str">
        <x:v>CACEM - périmètre administratif</x:v>
      </x:c>
      <x:c r="C2" s="13" t="str">
        <x:v>EPCI</x:v>
      </x:c>
      <x:c r="D2" s="13" t="str">
        <x:v>2017-01-01</x:v>
      </x:c>
      <x:c r="E2" s="13" t="str"/>
      <x:c r="F2" s="13" t="str">
        <x:v>CACEM</x:v>
      </x:c>
      <x:c r="G2" s="13" t="str">
        <x:v>ODYSSI</x:v>
      </x:c>
      <x:c r="H2" s="13" t="str">
        <x:v>4 communes.</x:v>
      </x:c>
      <x:c r="I2" s="13" t="str">
        <x:v>https://www.banatic.interieur.gouv.fr/intercommunalite/249720061-ca-du-centre-de-la-martinique</x:v>
      </x:c>
    </x:row>
    <x:row r="3">
      <x:c r="A3" s="13" t="str">
        <x:v>CAESM_EPCI</x:v>
      </x:c>
      <x:c r="B3" s="13" t="str">
        <x:v>CAESM - périmètre administratif</x:v>
      </x:c>
      <x:c r="C3" s="13" t="str">
        <x:v>EPCI</x:v>
      </x:c>
      <x:c r="D3" s="13" t="str">
        <x:v>2017-01-01</x:v>
      </x:c>
      <x:c r="E3" s="13" t="str"/>
      <x:c r="F3" s="13" t="str">
        <x:v>CAESM</x:v>
      </x:c>
      <x:c r="G3" s="13" t="str"/>
      <x:c r="H3" s="13" t="str">
        <x:v>12 communes.</x:v>
      </x:c>
      <x:c r="I3" s="13" t="str">
        <x:v>https://www.banatic.interieur.gouv.fr/intercommunalite/249720053-ca-de-l-espace-sud-de-la-martinique</x:v>
      </x:c>
    </x:row>
    <x:row r="4">
      <x:c r="A4" s="13" t="str">
        <x:v>CAP_NORD_EPCI</x:v>
      </x:c>
      <x:c r="B4" s="13" t="str">
        <x:v>CAP Nord - périmètre administratif</x:v>
      </x:c>
      <x:c r="C4" s="13" t="str">
        <x:v>EPCI</x:v>
      </x:c>
      <x:c r="D4" s="13" t="str">
        <x:v>2017-01-01</x:v>
      </x:c>
      <x:c r="E4" s="13" t="str"/>
      <x:c r="F4" s="13" t="str">
        <x:v>CAP Nord</x:v>
      </x:c>
      <x:c r="G4" s="13" t="str"/>
      <x:c r="H4" s="13" t="str">
        <x:v>18 communes.</x:v>
      </x:c>
      <x:c r="I4" s="13" t="str">
        <x:v>https://www.banatic.interieur.gouv.fr/intercommunalite/200041788-ca-du-pays-nord-martinique</x:v>
      </x:c>
    </x:row>
    <x:row r="5">
      <x:c r="A5" s="13" t="str">
        <x:v>EX_SICSM_DSP_2015_2027</x:v>
      </x:c>
      <x:c r="B5" s="13" t="str">
        <x:v>DSP Ex-SICSM Eau Potable 2015-2027</x:v>
      </x:c>
      <x:c r="C5" s="13" t="str">
        <x:v>CONTRACT</x:v>
      </x:c>
      <x:c r="D5" s="13" t="str">
        <x:v>2015-04-01</x:v>
      </x:c>
      <x:c r="E5" s="13" t="str">
        <x:v>2027-03-31</x:v>
      </x:c>
      <x:c r="F5" s="13" t="str">
        <x:v>CAESM + CAP Nord</x:v>
      </x:c>
      <x:c r="G5" s="13" t="str">
        <x:v>SME</x:v>
      </x:c>
      <x:c r="H5" s="13" t="str">
        <x:v>12 communes CAESM + secteurs de Robert et Trinité. Certaines données hydrauliques ne sont calculables qu'à l'échelle du contrat complet.</x:v>
      </x:c>
      <x:c r="I5" s="13" t="str">
        <x:v>https://www.eaumartinique.fr/184-services-d-eau-potable-et-d-assainissement/rapports</x:v>
      </x:c>
    </x:row>
    <x:row r="6">
      <x:c r="A6" s="13" t="str">
        <x:v>CAP_NORD_DSP_2020_2024</x:v>
      </x:c>
      <x:c r="B6" s="13" t="str">
        <x:v>DSP CAP Nord Eau Potable 2020-2024</x:v>
      </x:c>
      <x:c r="C6" s="13" t="str">
        <x:v>CONTRACT</x:v>
      </x:c>
      <x:c r="D6" s="13" t="str">
        <x:v>2020-04-01</x:v>
      </x:c>
      <x:c r="E6" s="13" t="str">
        <x:v>2024-12-31</x:v>
      </x:c>
      <x:c r="F6" s="13" t="str">
        <x:v>CAP Nord</x:v>
      </x:c>
      <x:c r="G6" s="13" t="str">
        <x:v>SME</x:v>
      </x:c>
      <x:c r="H6" s="13" t="str">
        <x:v>16 communes pleines + secteurs partiels Robert CN / Trinité CN visibles dans le RAD. Le contrat initial est indiqué 01/04/2020-31/03/2024 mais les données 2024 sont publiées dans le RAD.</x:v>
      </x:c>
      <x:c r="I6" s="13" t="str">
        <x:v>https://www.eaumartinique.fr/184-services-d-eau-potable-et-d-assainissement/rapports</x:v>
      </x:c>
    </x:row>
    <x:row r="7">
      <x:c r="A7" s="13" t="str">
        <x:v>CAP_NORD_SAUR_2025_2027</x:v>
      </x:c>
      <x:c r="B7" s="13" t="str">
        <x:v>DSP CAP Nord SAUR hors Robert-Trinité</x:v>
      </x:c>
      <x:c r="C7" s="13" t="str">
        <x:v>CONTRACT</x:v>
      </x:c>
      <x:c r="D7" s="13" t="str">
        <x:v>2025-01-01</x:v>
      </x:c>
      <x:c r="E7" s="13" t="str">
        <x:v>2027-03-31</x:v>
      </x:c>
      <x:c r="F7" s="13" t="str">
        <x:v>CAP Nord</x:v>
      </x:c>
      <x:c r="G7" s="13" t="str">
        <x:v>SAUR Martinique</x:v>
      </x:c>
      <x:c r="H7" s="13" t="str">
        <x:v>16 communes, Robert et Trinité restent SME jusqu'au 31/03/2027.</x:v>
      </x:c>
      <x:c r="I7" s="13" t="str">
        <x:v>https://www.capnordmartinique.fr/eau-et-assainissement/eau-potable</x:v>
      </x:c>
    </x:row>
    <x:row r="8">
      <x:c r="A8" s="13" t="str">
        <x:v>ROBERT_TRINITE_EXSICSM</x:v>
      </x:c>
      <x:c r="B8" s="13" t="str">
        <x:v>Secteurs Robert-Trinité du contrat Ex-SICSM</x:v>
      </x:c>
      <x:c r="C8" s="13" t="str">
        <x:v>SERVICE_SECTOR</x:v>
      </x:c>
      <x:c r="D8" s="13" t="str">
        <x:v>2017-01-01</x:v>
      </x:c>
      <x:c r="E8" s="13" t="str">
        <x:v>2027-03-31</x:v>
      </x:c>
      <x:c r="F8" s="13" t="str">
        <x:v>CAP Nord</x:v>
      </x:c>
      <x:c r="G8" s="13" t="str">
        <x:v>SME</x:v>
      </x:c>
      <x:c r="H8" s="13" t="str">
        <x:v>Parties des deux communes relevant de la DSP Ex-SICSM.</x:v>
      </x:c>
      <x:c r="I8" s="13" t="str">
        <x:v>https://www.services.eaufrance.fr/service/251994/2024</x:v>
      </x:c>
    </x:row>
    <x:row r="9">
      <x:c r="A9" s="13" t="str">
        <x:v>ROBERT_CN</x:v>
      </x:c>
      <x:c r="B9" s="13" t="str">
        <x:v>Secteur CAP Nord de la commune du Robert</x:v>
      </x:c>
      <x:c r="C9" s="13" t="str">
        <x:v>SERVICE_SECTOR</x:v>
      </x:c>
      <x:c r="D9" s="13" t="str">
        <x:v>2020-04-01</x:v>
      </x:c>
      <x:c r="E9" s="13" t="str">
        <x:v>2024-12-31</x:v>
      </x:c>
      <x:c r="F9" s="13" t="str">
        <x:v>CAP Nord</x:v>
      </x:c>
      <x:c r="G9" s="13" t="str">
        <x:v>SME</x:v>
      </x:c>
      <x:c r="H9" s="13" t="str">
        <x:v>Secteur partiel identifié « Robert CN » dans les tableaux détaillés du RAD CAP Nord.</x:v>
      </x:c>
      <x:c r="I9" s="13" t="str"/>
    </x:row>
    <x:row r="10">
      <x:c r="A10" s="13" t="str">
        <x:v>TRINITE_CN</x:v>
      </x:c>
      <x:c r="B10" s="13" t="str">
        <x:v>Secteur CAP Nord de la commune de La Trinité</x:v>
      </x:c>
      <x:c r="C10" s="13" t="str">
        <x:v>SERVICE_SECTOR</x:v>
      </x:c>
      <x:c r="D10" s="13" t="str">
        <x:v>2020-04-01</x:v>
      </x:c>
      <x:c r="E10" s="13" t="str">
        <x:v>2024-12-31</x:v>
      </x:c>
      <x:c r="F10" s="13" t="str">
        <x:v>CAP Nord</x:v>
      </x:c>
      <x:c r="G10" s="13" t="str">
        <x:v>SME</x:v>
      </x:c>
      <x:c r="H10" s="13" t="str">
        <x:v>Secteur partiel identifié « Trinité CN » dans les tableaux détaillés du RAD CAP Nord.</x:v>
      </x:c>
      <x:c r="I10" s="13" t="str"/>
    </x:row>
  </x:sheetData>
  <x:pageMargins left="0.7" right="0.7" top="0.75" bottom="0.75" header="0.3" footer="0.3"/>
  <x:tableParts count="1">
    <x:tablePart xmlns:r="http://schemas.openxmlformats.org/officeDocument/2006/relationships" r:id="Ra1eaceac68c64536"/>
  </x:tableParts>
</x:worksheet>
</file>

<file path=xl/worksheets/sheet4.xml><?xml version="1.0" encoding="utf-8"?>
<x:worksheet xmlns:x="http://schemas.openxmlformats.org/spreadsheetml/2006/main">
  <x:sheetFormatPr defaultRowHeight="15"/>
  <x:cols>
    <x:col min="1" max="1" width="30" hidden="0" customWidth="1"/>
    <x:col min="2" max="2" width="14" hidden="0" customWidth="1"/>
    <x:col min="3" max="3" width="24" hidden="0" customWidth="1"/>
    <x:col min="4" max="4" width="20" hidden="0" customWidth="1"/>
    <x:col min="5" max="5" width="22" hidden="0" customWidth="1"/>
    <x:col min="6" max="6" width="14" hidden="0" customWidth="1"/>
    <x:col min="7" max="7" width="14" hidden="0" customWidth="1"/>
  </x:cols>
  <x:sheetData>
    <x:row r="1">
      <x:c r="A1" s="34" t="str">
        <x:v>ID périmètre</x:v>
      </x:c>
      <x:c r="B1" s="34" t="str">
        <x:v>Code INSEE</x:v>
      </x:c>
      <x:c r="C1" s="34" t="str">
        <x:v>Commune</x:v>
      </x:c>
      <x:c r="D1" s="34" t="str">
        <x:v>Couverture</x:v>
      </x:c>
      <x:c r="E1" s="34" t="str">
        <x:v>Secteur</x:v>
      </x:c>
      <x:c r="F1" s="34" t="str">
        <x:v>Début</x:v>
      </x:c>
      <x:c r="G1" s="34" t="str">
        <x:v>Fin</x:v>
      </x:c>
    </x:row>
    <x:row r="2">
      <x:c r="A2" s="13" t="str">
        <x:v>CACEM_EPCI</x:v>
      </x:c>
      <x:c r="B2" s="13" t="str">
        <x:v>97209</x:v>
      </x:c>
      <x:c r="C2" s="13" t="str">
        <x:v>Fort-de-France</x:v>
      </x:c>
      <x:c r="D2" s="13" t="str">
        <x:v>FULL_COMMUNE</x:v>
      </x:c>
      <x:c r="E2" s="13" t="str"/>
      <x:c r="F2" s="13" t="str">
        <x:v>2017-01-01</x:v>
      </x:c>
      <x:c r="G2" s="13" t="str"/>
    </x:row>
    <x:row r="3">
      <x:c r="A3" s="13" t="str">
        <x:v>CACEM_EPCI</x:v>
      </x:c>
      <x:c r="B3" s="13" t="str">
        <x:v>97213</x:v>
      </x:c>
      <x:c r="C3" s="13" t="str">
        <x:v>Le Lamentin</x:v>
      </x:c>
      <x:c r="D3" s="13" t="str">
        <x:v>FULL_COMMUNE</x:v>
      </x:c>
      <x:c r="E3" s="13" t="str"/>
      <x:c r="F3" s="13" t="str">
        <x:v>2017-01-01</x:v>
      </x:c>
      <x:c r="G3" s="13" t="str"/>
    </x:row>
    <x:row r="4">
      <x:c r="A4" s="13" t="str">
        <x:v>CACEM_EPCI</x:v>
      </x:c>
      <x:c r="B4" s="13" t="str">
        <x:v>97224</x:v>
      </x:c>
      <x:c r="C4" s="13" t="str">
        <x:v>Saint-Joseph</x:v>
      </x:c>
      <x:c r="D4" s="13" t="str">
        <x:v>FULL_COMMUNE</x:v>
      </x:c>
      <x:c r="E4" s="13" t="str"/>
      <x:c r="F4" s="13" t="str">
        <x:v>2017-01-01</x:v>
      </x:c>
      <x:c r="G4" s="13" t="str"/>
    </x:row>
    <x:row r="5">
      <x:c r="A5" s="13" t="str">
        <x:v>CACEM_EPCI</x:v>
      </x:c>
      <x:c r="B5" s="13" t="str">
        <x:v>97229</x:v>
      </x:c>
      <x:c r="C5" s="13" t="str">
        <x:v>Schœlcher</x:v>
      </x:c>
      <x:c r="D5" s="13" t="str">
        <x:v>FULL_COMMUNE</x:v>
      </x:c>
      <x:c r="E5" s="13" t="str"/>
      <x:c r="F5" s="13" t="str">
        <x:v>2017-01-01</x:v>
      </x:c>
      <x:c r="G5" s="13" t="str"/>
    </x:row>
    <x:row r="6">
      <x:c r="A6" s="13" t="str">
        <x:v>CAESM_EPCI</x:v>
      </x:c>
      <x:c r="B6" s="13" t="str">
        <x:v>97202</x:v>
      </x:c>
      <x:c r="C6" s="13" t="str">
        <x:v>Les Anses-d'Arlet</x:v>
      </x:c>
      <x:c r="D6" s="13" t="str">
        <x:v>FULL_COMMUNE</x:v>
      </x:c>
      <x:c r="E6" s="13" t="str"/>
      <x:c r="F6" s="13" t="str">
        <x:v>2017-01-01</x:v>
      </x:c>
      <x:c r="G6" s="13" t="str"/>
    </x:row>
    <x:row r="7">
      <x:c r="A7" s="13" t="str">
        <x:v>CAESM_EPCI</x:v>
      </x:c>
      <x:c r="B7" s="13" t="str">
        <x:v>97206</x:v>
      </x:c>
      <x:c r="C7" s="13" t="str">
        <x:v>Le Diamant</x:v>
      </x:c>
      <x:c r="D7" s="13" t="str">
        <x:v>FULL_COMMUNE</x:v>
      </x:c>
      <x:c r="E7" s="13" t="str"/>
      <x:c r="F7" s="13" t="str">
        <x:v>2017-01-01</x:v>
      </x:c>
      <x:c r="G7" s="13" t="str"/>
    </x:row>
    <x:row r="8">
      <x:c r="A8" s="13" t="str">
        <x:v>CAESM_EPCI</x:v>
      </x:c>
      <x:c r="B8" s="13" t="str">
        <x:v>97207</x:v>
      </x:c>
      <x:c r="C8" s="13" t="str">
        <x:v>Ducos</x:v>
      </x:c>
      <x:c r="D8" s="13" t="str">
        <x:v>FULL_COMMUNE</x:v>
      </x:c>
      <x:c r="E8" s="13" t="str"/>
      <x:c r="F8" s="13" t="str">
        <x:v>2017-01-01</x:v>
      </x:c>
      <x:c r="G8" s="13" t="str"/>
    </x:row>
    <x:row r="9">
      <x:c r="A9" s="13" t="str">
        <x:v>CAESM_EPCI</x:v>
      </x:c>
      <x:c r="B9" s="13" t="str">
        <x:v>97210</x:v>
      </x:c>
      <x:c r="C9" s="13" t="str">
        <x:v>Le François</x:v>
      </x:c>
      <x:c r="D9" s="13" t="str">
        <x:v>FULL_COMMUNE</x:v>
      </x:c>
      <x:c r="E9" s="13" t="str"/>
      <x:c r="F9" s="13" t="str">
        <x:v>2017-01-01</x:v>
      </x:c>
      <x:c r="G9" s="13" t="str"/>
    </x:row>
    <x:row r="10">
      <x:c r="A10" s="13" t="str">
        <x:v>CAESM_EPCI</x:v>
      </x:c>
      <x:c r="B10" s="13" t="str">
        <x:v>97217</x:v>
      </x:c>
      <x:c r="C10" s="13" t="str">
        <x:v>Le Marin</x:v>
      </x:c>
      <x:c r="D10" s="13" t="str">
        <x:v>FULL_COMMUNE</x:v>
      </x:c>
      <x:c r="E10" s="13" t="str"/>
      <x:c r="F10" s="13" t="str">
        <x:v>2017-01-01</x:v>
      </x:c>
      <x:c r="G10" s="13" t="str"/>
    </x:row>
    <x:row r="11">
      <x:c r="A11" s="13" t="str">
        <x:v>CAESM_EPCI</x:v>
      </x:c>
      <x:c r="B11" s="13" t="str">
        <x:v>97220</x:v>
      </x:c>
      <x:c r="C11" s="13" t="str">
        <x:v>Rivière-Pilote</x:v>
      </x:c>
      <x:c r="D11" s="13" t="str">
        <x:v>FULL_COMMUNE</x:v>
      </x:c>
      <x:c r="E11" s="13" t="str"/>
      <x:c r="F11" s="13" t="str">
        <x:v>2017-01-01</x:v>
      </x:c>
      <x:c r="G11" s="13" t="str"/>
    </x:row>
    <x:row r="12">
      <x:c r="A12" s="13" t="str">
        <x:v>CAESM_EPCI</x:v>
      </x:c>
      <x:c r="B12" s="13" t="str">
        <x:v>97221</x:v>
      </x:c>
      <x:c r="C12" s="13" t="str">
        <x:v>Rivière-Salée</x:v>
      </x:c>
      <x:c r="D12" s="13" t="str">
        <x:v>FULL_COMMUNE</x:v>
      </x:c>
      <x:c r="E12" s="13" t="str"/>
      <x:c r="F12" s="13" t="str">
        <x:v>2017-01-01</x:v>
      </x:c>
      <x:c r="G12" s="13" t="str"/>
    </x:row>
    <x:row r="13">
      <x:c r="A13" s="13" t="str">
        <x:v>CAESM_EPCI</x:v>
      </x:c>
      <x:c r="B13" s="13" t="str">
        <x:v>97223</x:v>
      </x:c>
      <x:c r="C13" s="13" t="str">
        <x:v>Saint-Esprit</x:v>
      </x:c>
      <x:c r="D13" s="13" t="str">
        <x:v>FULL_COMMUNE</x:v>
      </x:c>
      <x:c r="E13" s="13" t="str"/>
      <x:c r="F13" s="13" t="str">
        <x:v>2017-01-01</x:v>
      </x:c>
      <x:c r="G13" s="13" t="str"/>
    </x:row>
    <x:row r="14">
      <x:c r="A14" s="13" t="str">
        <x:v>CAESM_EPCI</x:v>
      </x:c>
      <x:c r="B14" s="13" t="str">
        <x:v>97226</x:v>
      </x:c>
      <x:c r="C14" s="13" t="str">
        <x:v>Sainte-Anne</x:v>
      </x:c>
      <x:c r="D14" s="13" t="str">
        <x:v>FULL_COMMUNE</x:v>
      </x:c>
      <x:c r="E14" s="13" t="str"/>
      <x:c r="F14" s="13" t="str">
        <x:v>2017-01-01</x:v>
      </x:c>
      <x:c r="G14" s="13" t="str"/>
    </x:row>
    <x:row r="15">
      <x:c r="A15" s="13" t="str">
        <x:v>CAESM_EPCI</x:v>
      </x:c>
      <x:c r="B15" s="13" t="str">
        <x:v>97227</x:v>
      </x:c>
      <x:c r="C15" s="13" t="str">
        <x:v>Sainte-Luce</x:v>
      </x:c>
      <x:c r="D15" s="13" t="str">
        <x:v>FULL_COMMUNE</x:v>
      </x:c>
      <x:c r="E15" s="13" t="str"/>
      <x:c r="F15" s="13" t="str">
        <x:v>2017-01-01</x:v>
      </x:c>
      <x:c r="G15" s="13" t="str"/>
    </x:row>
    <x:row r="16">
      <x:c r="A16" s="13" t="str">
        <x:v>CAESM_EPCI</x:v>
      </x:c>
      <x:c r="B16" s="13" t="str">
        <x:v>97231</x:v>
      </x:c>
      <x:c r="C16" s="13" t="str">
        <x:v>Les Trois-Îlets</x:v>
      </x:c>
      <x:c r="D16" s="13" t="str">
        <x:v>FULL_COMMUNE</x:v>
      </x:c>
      <x:c r="E16" s="13" t="str"/>
      <x:c r="F16" s="13" t="str">
        <x:v>2017-01-01</x:v>
      </x:c>
      <x:c r="G16" s="13" t="str"/>
    </x:row>
    <x:row r="17">
      <x:c r="A17" s="13" t="str">
        <x:v>CAESM_EPCI</x:v>
      </x:c>
      <x:c r="B17" s="13" t="str">
        <x:v>97232</x:v>
      </x:c>
      <x:c r="C17" s="13" t="str">
        <x:v>Le Vauclin</x:v>
      </x:c>
      <x:c r="D17" s="13" t="str">
        <x:v>FULL_COMMUNE</x:v>
      </x:c>
      <x:c r="E17" s="13" t="str"/>
      <x:c r="F17" s="13" t="str">
        <x:v>2017-01-01</x:v>
      </x:c>
      <x:c r="G17" s="13" t="str"/>
    </x:row>
    <x:row r="18">
      <x:c r="A18" s="13" t="str">
        <x:v>CAP_NORD_EPCI</x:v>
      </x:c>
      <x:c r="B18" s="13" t="str">
        <x:v>97201</x:v>
      </x:c>
      <x:c r="C18" s="13" t="str">
        <x:v>L'Ajoupa-Bouillon</x:v>
      </x:c>
      <x:c r="D18" s="13" t="str">
        <x:v>FULL_COMMUNE</x:v>
      </x:c>
      <x:c r="E18" s="13" t="str"/>
      <x:c r="F18" s="13" t="str">
        <x:v>2017-01-01</x:v>
      </x:c>
      <x:c r="G18" s="13" t="str"/>
    </x:row>
    <x:row r="19">
      <x:c r="A19" s="13" t="str">
        <x:v>CAP_NORD_EPCI</x:v>
      </x:c>
      <x:c r="B19" s="13" t="str">
        <x:v>97203</x:v>
      </x:c>
      <x:c r="C19" s="13" t="str">
        <x:v>Basse-Pointe</x:v>
      </x:c>
      <x:c r="D19" s="13" t="str">
        <x:v>FULL_COMMUNE</x:v>
      </x:c>
      <x:c r="E19" s="13" t="str"/>
      <x:c r="F19" s="13" t="str">
        <x:v>2017-01-01</x:v>
      </x:c>
      <x:c r="G19" s="13" t="str"/>
    </x:row>
    <x:row r="20">
      <x:c r="A20" s="13" t="str">
        <x:v>CAP_NORD_EPCI</x:v>
      </x:c>
      <x:c r="B20" s="13" t="str">
        <x:v>97234</x:v>
      </x:c>
      <x:c r="C20" s="13" t="str">
        <x:v>Bellefontaine</x:v>
      </x:c>
      <x:c r="D20" s="13" t="str">
        <x:v>FULL_COMMUNE</x:v>
      </x:c>
      <x:c r="E20" s="13" t="str"/>
      <x:c r="F20" s="13" t="str">
        <x:v>2017-01-01</x:v>
      </x:c>
      <x:c r="G20" s="13" t="str"/>
    </x:row>
    <x:row r="21">
      <x:c r="A21" s="13" t="str">
        <x:v>CAP_NORD_EPCI</x:v>
      </x:c>
      <x:c r="B21" s="13" t="str">
        <x:v>97205</x:v>
      </x:c>
      <x:c r="C21" s="13" t="str">
        <x:v>Case-Pilote</x:v>
      </x:c>
      <x:c r="D21" s="13" t="str">
        <x:v>FULL_COMMUNE</x:v>
      </x:c>
      <x:c r="E21" s="13" t="str"/>
      <x:c r="F21" s="13" t="str">
        <x:v>2017-01-01</x:v>
      </x:c>
      <x:c r="G21" s="13" t="str"/>
    </x:row>
    <x:row r="22">
      <x:c r="A22" s="13" t="str">
        <x:v>CAP_NORD_EPCI</x:v>
      </x:c>
      <x:c r="B22" s="13" t="str">
        <x:v>97208</x:v>
      </x:c>
      <x:c r="C22" s="13" t="str">
        <x:v>Fonds-Saint-Denis</x:v>
      </x:c>
      <x:c r="D22" s="13" t="str">
        <x:v>FULL_COMMUNE</x:v>
      </x:c>
      <x:c r="E22" s="13" t="str"/>
      <x:c r="F22" s="13" t="str">
        <x:v>2017-01-01</x:v>
      </x:c>
      <x:c r="G22" s="13" t="str"/>
    </x:row>
    <x:row r="23">
      <x:c r="A23" s="13" t="str">
        <x:v>CAP_NORD_EPCI</x:v>
      </x:c>
      <x:c r="B23" s="13" t="str">
        <x:v>97211</x:v>
      </x:c>
      <x:c r="C23" s="13" t="str">
        <x:v>Grand'Rivière</x:v>
      </x:c>
      <x:c r="D23" s="13" t="str">
        <x:v>FULL_COMMUNE</x:v>
      </x:c>
      <x:c r="E23" s="13" t="str"/>
      <x:c r="F23" s="13" t="str">
        <x:v>2017-01-01</x:v>
      </x:c>
      <x:c r="G23" s="13" t="str"/>
    </x:row>
    <x:row r="24">
      <x:c r="A24" s="13" t="str">
        <x:v>CAP_NORD_EPCI</x:v>
      </x:c>
      <x:c r="B24" s="13" t="str">
        <x:v>97212</x:v>
      </x:c>
      <x:c r="C24" s="13" t="str">
        <x:v>Gros-Morne</x:v>
      </x:c>
      <x:c r="D24" s="13" t="str">
        <x:v>FULL_COMMUNE</x:v>
      </x:c>
      <x:c r="E24" s="13" t="str"/>
      <x:c r="F24" s="13" t="str">
        <x:v>2017-01-01</x:v>
      </x:c>
      <x:c r="G24" s="13" t="str"/>
    </x:row>
    <x:row r="25">
      <x:c r="A25" s="13" t="str">
        <x:v>CAP_NORD_EPCI</x:v>
      </x:c>
      <x:c r="B25" s="13" t="str">
        <x:v>97230</x:v>
      </x:c>
      <x:c r="C25" s="13" t="str">
        <x:v>La Trinité</x:v>
      </x:c>
      <x:c r="D25" s="13" t="str">
        <x:v>FULL_COMMUNE</x:v>
      </x:c>
      <x:c r="E25" s="13" t="str"/>
      <x:c r="F25" s="13" t="str">
        <x:v>2017-01-01</x:v>
      </x:c>
      <x:c r="G25" s="13" t="str"/>
    </x:row>
    <x:row r="26">
      <x:c r="A26" s="13" t="str">
        <x:v>CAP_NORD_EPCI</x:v>
      </x:c>
      <x:c r="B26" s="13" t="str">
        <x:v>97204</x:v>
      </x:c>
      <x:c r="C26" s="13" t="str">
        <x:v>Le Carbet</x:v>
      </x:c>
      <x:c r="D26" s="13" t="str">
        <x:v>FULL_COMMUNE</x:v>
      </x:c>
      <x:c r="E26" s="13" t="str"/>
      <x:c r="F26" s="13" t="str">
        <x:v>2017-01-01</x:v>
      </x:c>
      <x:c r="G26" s="13" t="str"/>
    </x:row>
    <x:row r="27">
      <x:c r="A27" s="13" t="str">
        <x:v>CAP_NORD_EPCI</x:v>
      </x:c>
      <x:c r="B27" s="13" t="str">
        <x:v>97214</x:v>
      </x:c>
      <x:c r="C27" s="13" t="str">
        <x:v>Le Lorrain</x:v>
      </x:c>
      <x:c r="D27" s="13" t="str">
        <x:v>FULL_COMMUNE</x:v>
      </x:c>
      <x:c r="E27" s="13" t="str"/>
      <x:c r="F27" s="13" t="str">
        <x:v>2017-01-01</x:v>
      </x:c>
      <x:c r="G27" s="13" t="str"/>
    </x:row>
    <x:row r="28">
      <x:c r="A28" s="13" t="str">
        <x:v>CAP_NORD_EPCI</x:v>
      </x:c>
      <x:c r="B28" s="13" t="str">
        <x:v>97216</x:v>
      </x:c>
      <x:c r="C28" s="13" t="str">
        <x:v>Le Marigot</x:v>
      </x:c>
      <x:c r="D28" s="13" t="str">
        <x:v>FULL_COMMUNE</x:v>
      </x:c>
      <x:c r="E28" s="13" t="str"/>
      <x:c r="F28" s="13" t="str">
        <x:v>2017-01-01</x:v>
      </x:c>
      <x:c r="G28" s="13" t="str"/>
    </x:row>
    <x:row r="29">
      <x:c r="A29" s="13" t="str">
        <x:v>CAP_NORD_EPCI</x:v>
      </x:c>
      <x:c r="B29" s="13" t="str">
        <x:v>97218</x:v>
      </x:c>
      <x:c r="C29" s="13" t="str">
        <x:v>Le Morne-Rouge</x:v>
      </x:c>
      <x:c r="D29" s="13" t="str">
        <x:v>FULL_COMMUNE</x:v>
      </x:c>
      <x:c r="E29" s="13" t="str"/>
      <x:c r="F29" s="13" t="str">
        <x:v>2017-01-01</x:v>
      </x:c>
      <x:c r="G29" s="13" t="str"/>
    </x:row>
    <x:row r="30">
      <x:c r="A30" s="13" t="str">
        <x:v>CAP_NORD_EPCI</x:v>
      </x:c>
      <x:c r="B30" s="13" t="str">
        <x:v>97233</x:v>
      </x:c>
      <x:c r="C30" s="13" t="str">
        <x:v>Le Morne-Vert</x:v>
      </x:c>
      <x:c r="D30" s="13" t="str">
        <x:v>FULL_COMMUNE</x:v>
      </x:c>
      <x:c r="E30" s="13" t="str"/>
      <x:c r="F30" s="13" t="str">
        <x:v>2017-01-01</x:v>
      </x:c>
      <x:c r="G30" s="13" t="str"/>
    </x:row>
    <x:row r="31">
      <x:c r="A31" s="13" t="str">
        <x:v>CAP_NORD_EPCI</x:v>
      </x:c>
      <x:c r="B31" s="13" t="str">
        <x:v>97219</x:v>
      </x:c>
      <x:c r="C31" s="13" t="str">
        <x:v>Le Prêcheur</x:v>
      </x:c>
      <x:c r="D31" s="13" t="str">
        <x:v>FULL_COMMUNE</x:v>
      </x:c>
      <x:c r="E31" s="13" t="str"/>
      <x:c r="F31" s="13" t="str">
        <x:v>2017-01-01</x:v>
      </x:c>
      <x:c r="G31" s="13" t="str"/>
    </x:row>
    <x:row r="32">
      <x:c r="A32" s="13" t="str">
        <x:v>CAP_NORD_EPCI</x:v>
      </x:c>
      <x:c r="B32" s="13" t="str">
        <x:v>97222</x:v>
      </x:c>
      <x:c r="C32" s="13" t="str">
        <x:v>Le Robert</x:v>
      </x:c>
      <x:c r="D32" s="13" t="str">
        <x:v>FULL_COMMUNE</x:v>
      </x:c>
      <x:c r="E32" s="13" t="str"/>
      <x:c r="F32" s="13" t="str">
        <x:v>2017-01-01</x:v>
      </x:c>
      <x:c r="G32" s="13" t="str"/>
    </x:row>
    <x:row r="33">
      <x:c r="A33" s="13" t="str">
        <x:v>CAP_NORD_EPCI</x:v>
      </x:c>
      <x:c r="B33" s="13" t="str">
        <x:v>97215</x:v>
      </x:c>
      <x:c r="C33" s="13" t="str">
        <x:v>Macouba</x:v>
      </x:c>
      <x:c r="D33" s="13" t="str">
        <x:v>FULL_COMMUNE</x:v>
      </x:c>
      <x:c r="E33" s="13" t="str"/>
      <x:c r="F33" s="13" t="str">
        <x:v>2017-01-01</x:v>
      </x:c>
      <x:c r="G33" s="13" t="str"/>
    </x:row>
    <x:row r="34">
      <x:c r="A34" s="13" t="str">
        <x:v>CAP_NORD_EPCI</x:v>
      </x:c>
      <x:c r="B34" s="13" t="str">
        <x:v>97225</x:v>
      </x:c>
      <x:c r="C34" s="13" t="str">
        <x:v>Saint-Pierre</x:v>
      </x:c>
      <x:c r="D34" s="13" t="str">
        <x:v>FULL_COMMUNE</x:v>
      </x:c>
      <x:c r="E34" s="13" t="str"/>
      <x:c r="F34" s="13" t="str">
        <x:v>2017-01-01</x:v>
      </x:c>
      <x:c r="G34" s="13" t="str"/>
    </x:row>
    <x:row r="35">
      <x:c r="A35" s="13" t="str">
        <x:v>CAP_NORD_EPCI</x:v>
      </x:c>
      <x:c r="B35" s="13" t="str">
        <x:v>97228</x:v>
      </x:c>
      <x:c r="C35" s="13" t="str">
        <x:v>Sainte-Marie</x:v>
      </x:c>
      <x:c r="D35" s="13" t="str">
        <x:v>FULL_COMMUNE</x:v>
      </x:c>
      <x:c r="E35" s="13" t="str"/>
      <x:c r="F35" s="13" t="str">
        <x:v>2017-01-01</x:v>
      </x:c>
      <x:c r="G35" s="13" t="str"/>
    </x:row>
    <x:row r="36">
      <x:c r="A36" s="13" t="str">
        <x:v>EX_SICSM_DSP_2015_2027</x:v>
      </x:c>
      <x:c r="B36" s="13" t="str">
        <x:v>97202</x:v>
      </x:c>
      <x:c r="C36" s="13" t="str">
        <x:v>Les Anses-d'Arlet</x:v>
      </x:c>
      <x:c r="D36" s="13" t="str">
        <x:v>FULL_COMMUNE</x:v>
      </x:c>
      <x:c r="E36" s="13" t="str"/>
      <x:c r="F36" s="13" t="str">
        <x:v>2015-04-01</x:v>
      </x:c>
      <x:c r="G36" s="13" t="str">
        <x:v>2027-03-31</x:v>
      </x:c>
    </x:row>
    <x:row r="37">
      <x:c r="A37" s="13" t="str">
        <x:v>EX_SICSM_DSP_2015_2027</x:v>
      </x:c>
      <x:c r="B37" s="13" t="str">
        <x:v>97206</x:v>
      </x:c>
      <x:c r="C37" s="13" t="str">
        <x:v>Le Diamant</x:v>
      </x:c>
      <x:c r="D37" s="13" t="str">
        <x:v>FULL_COMMUNE</x:v>
      </x:c>
      <x:c r="E37" s="13" t="str"/>
      <x:c r="F37" s="13" t="str">
        <x:v>2015-04-01</x:v>
      </x:c>
      <x:c r="G37" s="13" t="str">
        <x:v>2027-03-31</x:v>
      </x:c>
    </x:row>
    <x:row r="38">
      <x:c r="A38" s="13" t="str">
        <x:v>EX_SICSM_DSP_2015_2027</x:v>
      </x:c>
      <x:c r="B38" s="13" t="str">
        <x:v>97207</x:v>
      </x:c>
      <x:c r="C38" s="13" t="str">
        <x:v>Ducos</x:v>
      </x:c>
      <x:c r="D38" s="13" t="str">
        <x:v>FULL_COMMUNE</x:v>
      </x:c>
      <x:c r="E38" s="13" t="str"/>
      <x:c r="F38" s="13" t="str">
        <x:v>2015-04-01</x:v>
      </x:c>
      <x:c r="G38" s="13" t="str">
        <x:v>2027-03-31</x:v>
      </x:c>
    </x:row>
    <x:row r="39">
      <x:c r="A39" s="13" t="str">
        <x:v>EX_SICSM_DSP_2015_2027</x:v>
      </x:c>
      <x:c r="B39" s="13" t="str">
        <x:v>97210</x:v>
      </x:c>
      <x:c r="C39" s="13" t="str">
        <x:v>Le François</x:v>
      </x:c>
      <x:c r="D39" s="13" t="str">
        <x:v>FULL_COMMUNE</x:v>
      </x:c>
      <x:c r="E39" s="13" t="str"/>
      <x:c r="F39" s="13" t="str">
        <x:v>2015-04-01</x:v>
      </x:c>
      <x:c r="G39" s="13" t="str">
        <x:v>2027-03-31</x:v>
      </x:c>
    </x:row>
    <x:row r="40">
      <x:c r="A40" s="13" t="str">
        <x:v>EX_SICSM_DSP_2015_2027</x:v>
      </x:c>
      <x:c r="B40" s="13" t="str">
        <x:v>97217</x:v>
      </x:c>
      <x:c r="C40" s="13" t="str">
        <x:v>Le Marin</x:v>
      </x:c>
      <x:c r="D40" s="13" t="str">
        <x:v>FULL_COMMUNE</x:v>
      </x:c>
      <x:c r="E40" s="13" t="str"/>
      <x:c r="F40" s="13" t="str">
        <x:v>2015-04-01</x:v>
      </x:c>
      <x:c r="G40" s="13" t="str">
        <x:v>2027-03-31</x:v>
      </x:c>
    </x:row>
    <x:row r="41">
      <x:c r="A41" s="13" t="str">
        <x:v>EX_SICSM_DSP_2015_2027</x:v>
      </x:c>
      <x:c r="B41" s="13" t="str">
        <x:v>97220</x:v>
      </x:c>
      <x:c r="C41" s="13" t="str">
        <x:v>Rivière-Pilote</x:v>
      </x:c>
      <x:c r="D41" s="13" t="str">
        <x:v>FULL_COMMUNE</x:v>
      </x:c>
      <x:c r="E41" s="13" t="str"/>
      <x:c r="F41" s="13" t="str">
        <x:v>2015-04-01</x:v>
      </x:c>
      <x:c r="G41" s="13" t="str">
        <x:v>2027-03-31</x:v>
      </x:c>
    </x:row>
    <x:row r="42">
      <x:c r="A42" s="13" t="str">
        <x:v>EX_SICSM_DSP_2015_2027</x:v>
      </x:c>
      <x:c r="B42" s="13" t="str">
        <x:v>97221</x:v>
      </x:c>
      <x:c r="C42" s="13" t="str">
        <x:v>Rivière-Salée</x:v>
      </x:c>
      <x:c r="D42" s="13" t="str">
        <x:v>FULL_COMMUNE</x:v>
      </x:c>
      <x:c r="E42" s="13" t="str"/>
      <x:c r="F42" s="13" t="str">
        <x:v>2015-04-01</x:v>
      </x:c>
      <x:c r="G42" s="13" t="str">
        <x:v>2027-03-31</x:v>
      </x:c>
    </x:row>
    <x:row r="43">
      <x:c r="A43" s="13" t="str">
        <x:v>EX_SICSM_DSP_2015_2027</x:v>
      </x:c>
      <x:c r="B43" s="13" t="str">
        <x:v>97223</x:v>
      </x:c>
      <x:c r="C43" s="13" t="str">
        <x:v>Saint-Esprit</x:v>
      </x:c>
      <x:c r="D43" s="13" t="str">
        <x:v>FULL_COMMUNE</x:v>
      </x:c>
      <x:c r="E43" s="13" t="str"/>
      <x:c r="F43" s="13" t="str">
        <x:v>2015-04-01</x:v>
      </x:c>
      <x:c r="G43" s="13" t="str">
        <x:v>2027-03-31</x:v>
      </x:c>
    </x:row>
    <x:row r="44">
      <x:c r="A44" s="13" t="str">
        <x:v>EX_SICSM_DSP_2015_2027</x:v>
      </x:c>
      <x:c r="B44" s="13" t="str">
        <x:v>97226</x:v>
      </x:c>
      <x:c r="C44" s="13" t="str">
        <x:v>Sainte-Anne</x:v>
      </x:c>
      <x:c r="D44" s="13" t="str">
        <x:v>FULL_COMMUNE</x:v>
      </x:c>
      <x:c r="E44" s="13" t="str"/>
      <x:c r="F44" s="13" t="str">
        <x:v>2015-04-01</x:v>
      </x:c>
      <x:c r="G44" s="13" t="str">
        <x:v>2027-03-31</x:v>
      </x:c>
    </x:row>
    <x:row r="45">
      <x:c r="A45" s="13" t="str">
        <x:v>EX_SICSM_DSP_2015_2027</x:v>
      </x:c>
      <x:c r="B45" s="13" t="str">
        <x:v>97227</x:v>
      </x:c>
      <x:c r="C45" s="13" t="str">
        <x:v>Sainte-Luce</x:v>
      </x:c>
      <x:c r="D45" s="13" t="str">
        <x:v>FULL_COMMUNE</x:v>
      </x:c>
      <x:c r="E45" s="13" t="str"/>
      <x:c r="F45" s="13" t="str">
        <x:v>2015-04-01</x:v>
      </x:c>
      <x:c r="G45" s="13" t="str">
        <x:v>2027-03-31</x:v>
      </x:c>
    </x:row>
    <x:row r="46">
      <x:c r="A46" s="13" t="str">
        <x:v>EX_SICSM_DSP_2015_2027</x:v>
      </x:c>
      <x:c r="B46" s="13" t="str">
        <x:v>97231</x:v>
      </x:c>
      <x:c r="C46" s="13" t="str">
        <x:v>Les Trois-Îlets</x:v>
      </x:c>
      <x:c r="D46" s="13" t="str">
        <x:v>FULL_COMMUNE</x:v>
      </x:c>
      <x:c r="E46" s="13" t="str"/>
      <x:c r="F46" s="13" t="str">
        <x:v>2015-04-01</x:v>
      </x:c>
      <x:c r="G46" s="13" t="str">
        <x:v>2027-03-31</x:v>
      </x:c>
    </x:row>
    <x:row r="47">
      <x:c r="A47" s="13" t="str">
        <x:v>EX_SICSM_DSP_2015_2027</x:v>
      </x:c>
      <x:c r="B47" s="13" t="str">
        <x:v>97232</x:v>
      </x:c>
      <x:c r="C47" s="13" t="str">
        <x:v>Le Vauclin</x:v>
      </x:c>
      <x:c r="D47" s="13" t="str">
        <x:v>FULL_COMMUNE</x:v>
      </x:c>
      <x:c r="E47" s="13" t="str"/>
      <x:c r="F47" s="13" t="str">
        <x:v>2015-04-01</x:v>
      </x:c>
      <x:c r="G47" s="13" t="str">
        <x:v>2027-03-31</x:v>
      </x:c>
    </x:row>
    <x:row r="48">
      <x:c r="A48" s="13" t="str">
        <x:v>EX_SICSM_DSP_2015_2027</x:v>
      </x:c>
      <x:c r="B48" s="13" t="str">
        <x:v>97222</x:v>
      </x:c>
      <x:c r="C48" s="13" t="str">
        <x:v>Le Robert</x:v>
      </x:c>
      <x:c r="D48" s="13" t="str">
        <x:v>PARTIAL_COMMUNE</x:v>
      </x:c>
      <x:c r="E48" s="13" t="str">
        <x:v>ROBERT_EXSICSM</x:v>
      </x:c>
      <x:c r="F48" s="13" t="str">
        <x:v>2015-04-01</x:v>
      </x:c>
      <x:c r="G48" s="13" t="str">
        <x:v>2027-03-31</x:v>
      </x:c>
    </x:row>
    <x:row r="49">
      <x:c r="A49" s="13" t="str">
        <x:v>EX_SICSM_DSP_2015_2027</x:v>
      </x:c>
      <x:c r="B49" s="13" t="str">
        <x:v>97230</x:v>
      </x:c>
      <x:c r="C49" s="13" t="str">
        <x:v>La Trinité</x:v>
      </x:c>
      <x:c r="D49" s="13" t="str">
        <x:v>PARTIAL_COMMUNE</x:v>
      </x:c>
      <x:c r="E49" s="13" t="str">
        <x:v>TRINITE_EXSICSM</x:v>
      </x:c>
      <x:c r="F49" s="13" t="str">
        <x:v>2015-04-01</x:v>
      </x:c>
      <x:c r="G49" s="13" t="str">
        <x:v>2027-03-31</x:v>
      </x:c>
    </x:row>
    <x:row r="50">
      <x:c r="A50" s="13" t="str">
        <x:v>CAP_NORD_DSP_2020_2024</x:v>
      </x:c>
      <x:c r="B50" s="13" t="str">
        <x:v>97201</x:v>
      </x:c>
      <x:c r="C50" s="13" t="str">
        <x:v>L'Ajoupa-Bouillon</x:v>
      </x:c>
      <x:c r="D50" s="13" t="str">
        <x:v>FULL_COMMUNE</x:v>
      </x:c>
      <x:c r="E50" s="13" t="str"/>
      <x:c r="F50" s="13" t="str">
        <x:v>2020-04-01</x:v>
      </x:c>
      <x:c r="G50" s="13" t="str">
        <x:v>2024-12-31</x:v>
      </x:c>
    </x:row>
    <x:row r="51">
      <x:c r="A51" s="13" t="str">
        <x:v>CAP_NORD_DSP_2020_2024</x:v>
      </x:c>
      <x:c r="B51" s="13" t="str">
        <x:v>97203</x:v>
      </x:c>
      <x:c r="C51" s="13" t="str">
        <x:v>Basse-Pointe</x:v>
      </x:c>
      <x:c r="D51" s="13" t="str">
        <x:v>FULL_COMMUNE</x:v>
      </x:c>
      <x:c r="E51" s="13" t="str"/>
      <x:c r="F51" s="13" t="str">
        <x:v>2020-04-01</x:v>
      </x:c>
      <x:c r="G51" s="13" t="str">
        <x:v>2024-12-31</x:v>
      </x:c>
    </x:row>
    <x:row r="52">
      <x:c r="A52" s="13" t="str">
        <x:v>CAP_NORD_DSP_2020_2024</x:v>
      </x:c>
      <x:c r="B52" s="13" t="str">
        <x:v>97234</x:v>
      </x:c>
      <x:c r="C52" s="13" t="str">
        <x:v>Bellefontaine</x:v>
      </x:c>
      <x:c r="D52" s="13" t="str">
        <x:v>FULL_COMMUNE</x:v>
      </x:c>
      <x:c r="E52" s="13" t="str"/>
      <x:c r="F52" s="13" t="str">
        <x:v>2020-04-01</x:v>
      </x:c>
      <x:c r="G52" s="13" t="str">
        <x:v>2024-12-31</x:v>
      </x:c>
    </x:row>
    <x:row r="53">
      <x:c r="A53" s="13" t="str">
        <x:v>CAP_NORD_DSP_2020_2024</x:v>
      </x:c>
      <x:c r="B53" s="13" t="str">
        <x:v>97205</x:v>
      </x:c>
      <x:c r="C53" s="13" t="str">
        <x:v>Case-Pilote</x:v>
      </x:c>
      <x:c r="D53" s="13" t="str">
        <x:v>FULL_COMMUNE</x:v>
      </x:c>
      <x:c r="E53" s="13" t="str"/>
      <x:c r="F53" s="13" t="str">
        <x:v>2020-04-01</x:v>
      </x:c>
      <x:c r="G53" s="13" t="str">
        <x:v>2024-12-31</x:v>
      </x:c>
    </x:row>
    <x:row r="54">
      <x:c r="A54" s="13" t="str">
        <x:v>CAP_NORD_DSP_2020_2024</x:v>
      </x:c>
      <x:c r="B54" s="13" t="str">
        <x:v>97208</x:v>
      </x:c>
      <x:c r="C54" s="13" t="str">
        <x:v>Fonds-Saint-Denis</x:v>
      </x:c>
      <x:c r="D54" s="13" t="str">
        <x:v>FULL_COMMUNE</x:v>
      </x:c>
      <x:c r="E54" s="13" t="str"/>
      <x:c r="F54" s="13" t="str">
        <x:v>2020-04-01</x:v>
      </x:c>
      <x:c r="G54" s="13" t="str">
        <x:v>2024-12-31</x:v>
      </x:c>
    </x:row>
    <x:row r="55">
      <x:c r="A55" s="13" t="str">
        <x:v>CAP_NORD_DSP_2020_2024</x:v>
      </x:c>
      <x:c r="B55" s="13" t="str">
        <x:v>97211</x:v>
      </x:c>
      <x:c r="C55" s="13" t="str">
        <x:v>Grand'Rivière</x:v>
      </x:c>
      <x:c r="D55" s="13" t="str">
        <x:v>FULL_COMMUNE</x:v>
      </x:c>
      <x:c r="E55" s="13" t="str"/>
      <x:c r="F55" s="13" t="str">
        <x:v>2020-04-01</x:v>
      </x:c>
      <x:c r="G55" s="13" t="str">
        <x:v>2024-12-31</x:v>
      </x:c>
    </x:row>
    <x:row r="56">
      <x:c r="A56" s="13" t="str">
        <x:v>CAP_NORD_DSP_2020_2024</x:v>
      </x:c>
      <x:c r="B56" s="13" t="str">
        <x:v>97212</x:v>
      </x:c>
      <x:c r="C56" s="13" t="str">
        <x:v>Gros-Morne</x:v>
      </x:c>
      <x:c r="D56" s="13" t="str">
        <x:v>FULL_COMMUNE</x:v>
      </x:c>
      <x:c r="E56" s="13" t="str"/>
      <x:c r="F56" s="13" t="str">
        <x:v>2020-04-01</x:v>
      </x:c>
      <x:c r="G56" s="13" t="str">
        <x:v>2024-12-31</x:v>
      </x:c>
    </x:row>
    <x:row r="57">
      <x:c r="A57" s="13" t="str">
        <x:v>CAP_NORD_DSP_2020_2024</x:v>
      </x:c>
      <x:c r="B57" s="13" t="str">
        <x:v>97204</x:v>
      </x:c>
      <x:c r="C57" s="13" t="str">
        <x:v>Le Carbet</x:v>
      </x:c>
      <x:c r="D57" s="13" t="str">
        <x:v>FULL_COMMUNE</x:v>
      </x:c>
      <x:c r="E57" s="13" t="str"/>
      <x:c r="F57" s="13" t="str">
        <x:v>2020-04-01</x:v>
      </x:c>
      <x:c r="G57" s="13" t="str">
        <x:v>2024-12-31</x:v>
      </x:c>
    </x:row>
    <x:row r="58">
      <x:c r="A58" s="13" t="str">
        <x:v>CAP_NORD_DSP_2020_2024</x:v>
      </x:c>
      <x:c r="B58" s="13" t="str">
        <x:v>97214</x:v>
      </x:c>
      <x:c r="C58" s="13" t="str">
        <x:v>Le Lorrain</x:v>
      </x:c>
      <x:c r="D58" s="13" t="str">
        <x:v>FULL_COMMUNE</x:v>
      </x:c>
      <x:c r="E58" s="13" t="str"/>
      <x:c r="F58" s="13" t="str">
        <x:v>2020-04-01</x:v>
      </x:c>
      <x:c r="G58" s="13" t="str">
        <x:v>2024-12-31</x:v>
      </x:c>
    </x:row>
    <x:row r="59">
      <x:c r="A59" s="13" t="str">
        <x:v>CAP_NORD_DSP_2020_2024</x:v>
      </x:c>
      <x:c r="B59" s="13" t="str">
        <x:v>97216</x:v>
      </x:c>
      <x:c r="C59" s="13" t="str">
        <x:v>Le Marigot</x:v>
      </x:c>
      <x:c r="D59" s="13" t="str">
        <x:v>FULL_COMMUNE</x:v>
      </x:c>
      <x:c r="E59" s="13" t="str"/>
      <x:c r="F59" s="13" t="str">
        <x:v>2020-04-01</x:v>
      </x:c>
      <x:c r="G59" s="13" t="str">
        <x:v>2024-12-31</x:v>
      </x:c>
    </x:row>
    <x:row r="60">
      <x:c r="A60" s="13" t="str">
        <x:v>CAP_NORD_DSP_2020_2024</x:v>
      </x:c>
      <x:c r="B60" s="13" t="str">
        <x:v>97218</x:v>
      </x:c>
      <x:c r="C60" s="13" t="str">
        <x:v>Le Morne-Rouge</x:v>
      </x:c>
      <x:c r="D60" s="13" t="str">
        <x:v>FULL_COMMUNE</x:v>
      </x:c>
      <x:c r="E60" s="13" t="str"/>
      <x:c r="F60" s="13" t="str">
        <x:v>2020-04-01</x:v>
      </x:c>
      <x:c r="G60" s="13" t="str">
        <x:v>2024-12-31</x:v>
      </x:c>
    </x:row>
    <x:row r="61">
      <x:c r="A61" s="13" t="str">
        <x:v>CAP_NORD_DSP_2020_2024</x:v>
      </x:c>
      <x:c r="B61" s="13" t="str">
        <x:v>97233</x:v>
      </x:c>
      <x:c r="C61" s="13" t="str">
        <x:v>Le Morne-Vert</x:v>
      </x:c>
      <x:c r="D61" s="13" t="str">
        <x:v>FULL_COMMUNE</x:v>
      </x:c>
      <x:c r="E61" s="13" t="str"/>
      <x:c r="F61" s="13" t="str">
        <x:v>2020-04-01</x:v>
      </x:c>
      <x:c r="G61" s="13" t="str">
        <x:v>2024-12-31</x:v>
      </x:c>
    </x:row>
    <x:row r="62">
      <x:c r="A62" s="13" t="str">
        <x:v>CAP_NORD_DSP_2020_2024</x:v>
      </x:c>
      <x:c r="B62" s="13" t="str">
        <x:v>97219</x:v>
      </x:c>
      <x:c r="C62" s="13" t="str">
        <x:v>Le Prêcheur</x:v>
      </x:c>
      <x:c r="D62" s="13" t="str">
        <x:v>FULL_COMMUNE</x:v>
      </x:c>
      <x:c r="E62" s="13" t="str"/>
      <x:c r="F62" s="13" t="str">
        <x:v>2020-04-01</x:v>
      </x:c>
      <x:c r="G62" s="13" t="str">
        <x:v>2024-12-31</x:v>
      </x:c>
    </x:row>
    <x:row r="63">
      <x:c r="A63" s="13" t="str">
        <x:v>CAP_NORD_DSP_2020_2024</x:v>
      </x:c>
      <x:c r="B63" s="13" t="str">
        <x:v>97215</x:v>
      </x:c>
      <x:c r="C63" s="13" t="str">
        <x:v>Macouba</x:v>
      </x:c>
      <x:c r="D63" s="13" t="str">
        <x:v>FULL_COMMUNE</x:v>
      </x:c>
      <x:c r="E63" s="13" t="str"/>
      <x:c r="F63" s="13" t="str">
        <x:v>2020-04-01</x:v>
      </x:c>
      <x:c r="G63" s="13" t="str">
        <x:v>2024-12-31</x:v>
      </x:c>
    </x:row>
    <x:row r="64">
      <x:c r="A64" s="13" t="str">
        <x:v>CAP_NORD_DSP_2020_2024</x:v>
      </x:c>
      <x:c r="B64" s="13" t="str">
        <x:v>97225</x:v>
      </x:c>
      <x:c r="C64" s="13" t="str">
        <x:v>Saint-Pierre</x:v>
      </x:c>
      <x:c r="D64" s="13" t="str">
        <x:v>FULL_COMMUNE</x:v>
      </x:c>
      <x:c r="E64" s="13" t="str"/>
      <x:c r="F64" s="13" t="str">
        <x:v>2020-04-01</x:v>
      </x:c>
      <x:c r="G64" s="13" t="str">
        <x:v>2024-12-31</x:v>
      </x:c>
    </x:row>
    <x:row r="65">
      <x:c r="A65" s="13" t="str">
        <x:v>CAP_NORD_DSP_2020_2024</x:v>
      </x:c>
      <x:c r="B65" s="13" t="str">
        <x:v>97228</x:v>
      </x:c>
      <x:c r="C65" s="13" t="str">
        <x:v>Sainte-Marie</x:v>
      </x:c>
      <x:c r="D65" s="13" t="str">
        <x:v>FULL_COMMUNE</x:v>
      </x:c>
      <x:c r="E65" s="13" t="str"/>
      <x:c r="F65" s="13" t="str">
        <x:v>2020-04-01</x:v>
      </x:c>
      <x:c r="G65" s="13" t="str">
        <x:v>2024-12-31</x:v>
      </x:c>
    </x:row>
    <x:row r="66">
      <x:c r="A66" s="13" t="str">
        <x:v>CAP_NORD_DSP_2020_2024</x:v>
      </x:c>
      <x:c r="B66" s="13" t="str">
        <x:v>97222</x:v>
      </x:c>
      <x:c r="C66" s="13" t="str">
        <x:v>Le Robert</x:v>
      </x:c>
      <x:c r="D66" s="13" t="str">
        <x:v>PARTIAL_COMMUNE</x:v>
      </x:c>
      <x:c r="E66" s="13" t="str">
        <x:v>ROBERT_CN</x:v>
      </x:c>
      <x:c r="F66" s="13" t="str">
        <x:v>2020-04-01</x:v>
      </x:c>
      <x:c r="G66" s="13" t="str">
        <x:v>2024-12-31</x:v>
      </x:c>
    </x:row>
    <x:row r="67">
      <x:c r="A67" s="13" t="str">
        <x:v>CAP_NORD_DSP_2020_2024</x:v>
      </x:c>
      <x:c r="B67" s="13" t="str">
        <x:v>97230</x:v>
      </x:c>
      <x:c r="C67" s="13" t="str">
        <x:v>La Trinité</x:v>
      </x:c>
      <x:c r="D67" s="13" t="str">
        <x:v>PARTIAL_COMMUNE</x:v>
      </x:c>
      <x:c r="E67" s="13" t="str">
        <x:v>TRINITE_CN</x:v>
      </x:c>
      <x:c r="F67" s="13" t="str">
        <x:v>2020-04-01</x:v>
      </x:c>
      <x:c r="G67" s="13" t="str">
        <x:v>2024-12-31</x:v>
      </x:c>
    </x:row>
    <x:row r="68">
      <x:c r="A68" s="13" t="str">
        <x:v>CAP_NORD_SAUR_2025_2027</x:v>
      </x:c>
      <x:c r="B68" s="13" t="str">
        <x:v>97201</x:v>
      </x:c>
      <x:c r="C68" s="13" t="str">
        <x:v>L'Ajoupa-Bouillon</x:v>
      </x:c>
      <x:c r="D68" s="13" t="str">
        <x:v>FULL_COMMUNE</x:v>
      </x:c>
      <x:c r="E68" s="13" t="str"/>
      <x:c r="F68" s="13" t="str">
        <x:v>2025-01-01</x:v>
      </x:c>
      <x:c r="G68" s="13" t="str">
        <x:v>2027-03-31</x:v>
      </x:c>
    </x:row>
    <x:row r="69">
      <x:c r="A69" s="13" t="str">
        <x:v>CAP_NORD_SAUR_2025_2027</x:v>
      </x:c>
      <x:c r="B69" s="13" t="str">
        <x:v>97203</x:v>
      </x:c>
      <x:c r="C69" s="13" t="str">
        <x:v>Basse-Pointe</x:v>
      </x:c>
      <x:c r="D69" s="13" t="str">
        <x:v>FULL_COMMUNE</x:v>
      </x:c>
      <x:c r="E69" s="13" t="str"/>
      <x:c r="F69" s="13" t="str">
        <x:v>2025-01-01</x:v>
      </x:c>
      <x:c r="G69" s="13" t="str">
        <x:v>2027-03-31</x:v>
      </x:c>
    </x:row>
    <x:row r="70">
      <x:c r="A70" s="13" t="str">
        <x:v>CAP_NORD_SAUR_2025_2027</x:v>
      </x:c>
      <x:c r="B70" s="13" t="str">
        <x:v>97234</x:v>
      </x:c>
      <x:c r="C70" s="13" t="str">
        <x:v>Bellefontaine</x:v>
      </x:c>
      <x:c r="D70" s="13" t="str">
        <x:v>FULL_COMMUNE</x:v>
      </x:c>
      <x:c r="E70" s="13" t="str"/>
      <x:c r="F70" s="13" t="str">
        <x:v>2025-01-01</x:v>
      </x:c>
      <x:c r="G70" s="13" t="str">
        <x:v>2027-03-31</x:v>
      </x:c>
    </x:row>
    <x:row r="71">
      <x:c r="A71" s="13" t="str">
        <x:v>CAP_NORD_SAUR_2025_2027</x:v>
      </x:c>
      <x:c r="B71" s="13" t="str">
        <x:v>97205</x:v>
      </x:c>
      <x:c r="C71" s="13" t="str">
        <x:v>Case-Pilote</x:v>
      </x:c>
      <x:c r="D71" s="13" t="str">
        <x:v>FULL_COMMUNE</x:v>
      </x:c>
      <x:c r="E71" s="13" t="str"/>
      <x:c r="F71" s="13" t="str">
        <x:v>2025-01-01</x:v>
      </x:c>
      <x:c r="G71" s="13" t="str">
        <x:v>2027-03-31</x:v>
      </x:c>
    </x:row>
    <x:row r="72">
      <x:c r="A72" s="13" t="str">
        <x:v>CAP_NORD_SAUR_2025_2027</x:v>
      </x:c>
      <x:c r="B72" s="13" t="str">
        <x:v>97208</x:v>
      </x:c>
      <x:c r="C72" s="13" t="str">
        <x:v>Fonds-Saint-Denis</x:v>
      </x:c>
      <x:c r="D72" s="13" t="str">
        <x:v>FULL_COMMUNE</x:v>
      </x:c>
      <x:c r="E72" s="13" t="str"/>
      <x:c r="F72" s="13" t="str">
        <x:v>2025-01-01</x:v>
      </x:c>
      <x:c r="G72" s="13" t="str">
        <x:v>2027-03-31</x:v>
      </x:c>
    </x:row>
    <x:row r="73">
      <x:c r="A73" s="13" t="str">
        <x:v>CAP_NORD_SAUR_2025_2027</x:v>
      </x:c>
      <x:c r="B73" s="13" t="str">
        <x:v>97211</x:v>
      </x:c>
      <x:c r="C73" s="13" t="str">
        <x:v>Grand'Rivière</x:v>
      </x:c>
      <x:c r="D73" s="13" t="str">
        <x:v>FULL_COMMUNE</x:v>
      </x:c>
      <x:c r="E73" s="13" t="str"/>
      <x:c r="F73" s="13" t="str">
        <x:v>2025-01-01</x:v>
      </x:c>
      <x:c r="G73" s="13" t="str">
        <x:v>2027-03-31</x:v>
      </x:c>
    </x:row>
    <x:row r="74">
      <x:c r="A74" s="13" t="str">
        <x:v>CAP_NORD_SAUR_2025_2027</x:v>
      </x:c>
      <x:c r="B74" s="13" t="str">
        <x:v>97212</x:v>
      </x:c>
      <x:c r="C74" s="13" t="str">
        <x:v>Gros-Morne</x:v>
      </x:c>
      <x:c r="D74" s="13" t="str">
        <x:v>FULL_COMMUNE</x:v>
      </x:c>
      <x:c r="E74" s="13" t="str"/>
      <x:c r="F74" s="13" t="str">
        <x:v>2025-01-01</x:v>
      </x:c>
      <x:c r="G74" s="13" t="str">
        <x:v>2027-03-31</x:v>
      </x:c>
    </x:row>
    <x:row r="75">
      <x:c r="A75" s="13" t="str">
        <x:v>CAP_NORD_SAUR_2025_2027</x:v>
      </x:c>
      <x:c r="B75" s="13" t="str">
        <x:v>97204</x:v>
      </x:c>
      <x:c r="C75" s="13" t="str">
        <x:v>Le Carbet</x:v>
      </x:c>
      <x:c r="D75" s="13" t="str">
        <x:v>FULL_COMMUNE</x:v>
      </x:c>
      <x:c r="E75" s="13" t="str"/>
      <x:c r="F75" s="13" t="str">
        <x:v>2025-01-01</x:v>
      </x:c>
      <x:c r="G75" s="13" t="str">
        <x:v>2027-03-31</x:v>
      </x:c>
    </x:row>
    <x:row r="76">
      <x:c r="A76" s="13" t="str">
        <x:v>CAP_NORD_SAUR_2025_2027</x:v>
      </x:c>
      <x:c r="B76" s="13" t="str">
        <x:v>97214</x:v>
      </x:c>
      <x:c r="C76" s="13" t="str">
        <x:v>Le Lorrain</x:v>
      </x:c>
      <x:c r="D76" s="13" t="str">
        <x:v>FULL_COMMUNE</x:v>
      </x:c>
      <x:c r="E76" s="13" t="str"/>
      <x:c r="F76" s="13" t="str">
        <x:v>2025-01-01</x:v>
      </x:c>
      <x:c r="G76" s="13" t="str">
        <x:v>2027-03-31</x:v>
      </x:c>
    </x:row>
    <x:row r="77">
      <x:c r="A77" s="13" t="str">
        <x:v>CAP_NORD_SAUR_2025_2027</x:v>
      </x:c>
      <x:c r="B77" s="13" t="str">
        <x:v>97216</x:v>
      </x:c>
      <x:c r="C77" s="13" t="str">
        <x:v>Le Marigot</x:v>
      </x:c>
      <x:c r="D77" s="13" t="str">
        <x:v>FULL_COMMUNE</x:v>
      </x:c>
      <x:c r="E77" s="13" t="str"/>
      <x:c r="F77" s="13" t="str">
        <x:v>2025-01-01</x:v>
      </x:c>
      <x:c r="G77" s="13" t="str">
        <x:v>2027-03-31</x:v>
      </x:c>
    </x:row>
    <x:row r="78">
      <x:c r="A78" s="13" t="str">
        <x:v>CAP_NORD_SAUR_2025_2027</x:v>
      </x:c>
      <x:c r="B78" s="13" t="str">
        <x:v>97218</x:v>
      </x:c>
      <x:c r="C78" s="13" t="str">
        <x:v>Le Morne-Rouge</x:v>
      </x:c>
      <x:c r="D78" s="13" t="str">
        <x:v>FULL_COMMUNE</x:v>
      </x:c>
      <x:c r="E78" s="13" t="str"/>
      <x:c r="F78" s="13" t="str">
        <x:v>2025-01-01</x:v>
      </x:c>
      <x:c r="G78" s="13" t="str">
        <x:v>2027-03-31</x:v>
      </x:c>
    </x:row>
    <x:row r="79">
      <x:c r="A79" s="13" t="str">
        <x:v>CAP_NORD_SAUR_2025_2027</x:v>
      </x:c>
      <x:c r="B79" s="13" t="str">
        <x:v>97233</x:v>
      </x:c>
      <x:c r="C79" s="13" t="str">
        <x:v>Le Morne-Vert</x:v>
      </x:c>
      <x:c r="D79" s="13" t="str">
        <x:v>FULL_COMMUNE</x:v>
      </x:c>
      <x:c r="E79" s="13" t="str"/>
      <x:c r="F79" s="13" t="str">
        <x:v>2025-01-01</x:v>
      </x:c>
      <x:c r="G79" s="13" t="str">
        <x:v>2027-03-31</x:v>
      </x:c>
    </x:row>
    <x:row r="80">
      <x:c r="A80" s="13" t="str">
        <x:v>CAP_NORD_SAUR_2025_2027</x:v>
      </x:c>
      <x:c r="B80" s="13" t="str">
        <x:v>97219</x:v>
      </x:c>
      <x:c r="C80" s="13" t="str">
        <x:v>Le Prêcheur</x:v>
      </x:c>
      <x:c r="D80" s="13" t="str">
        <x:v>FULL_COMMUNE</x:v>
      </x:c>
      <x:c r="E80" s="13" t="str"/>
      <x:c r="F80" s="13" t="str">
        <x:v>2025-01-01</x:v>
      </x:c>
      <x:c r="G80" s="13" t="str">
        <x:v>2027-03-31</x:v>
      </x:c>
    </x:row>
    <x:row r="81">
      <x:c r="A81" s="13" t="str">
        <x:v>CAP_NORD_SAUR_2025_2027</x:v>
      </x:c>
      <x:c r="B81" s="13" t="str">
        <x:v>97215</x:v>
      </x:c>
      <x:c r="C81" s="13" t="str">
        <x:v>Macouba</x:v>
      </x:c>
      <x:c r="D81" s="13" t="str">
        <x:v>FULL_COMMUNE</x:v>
      </x:c>
      <x:c r="E81" s="13" t="str"/>
      <x:c r="F81" s="13" t="str">
        <x:v>2025-01-01</x:v>
      </x:c>
      <x:c r="G81" s="13" t="str">
        <x:v>2027-03-31</x:v>
      </x:c>
    </x:row>
    <x:row r="82">
      <x:c r="A82" s="13" t="str">
        <x:v>CAP_NORD_SAUR_2025_2027</x:v>
      </x:c>
      <x:c r="B82" s="13" t="str">
        <x:v>97225</x:v>
      </x:c>
      <x:c r="C82" s="13" t="str">
        <x:v>Saint-Pierre</x:v>
      </x:c>
      <x:c r="D82" s="13" t="str">
        <x:v>FULL_COMMUNE</x:v>
      </x:c>
      <x:c r="E82" s="13" t="str"/>
      <x:c r="F82" s="13" t="str">
        <x:v>2025-01-01</x:v>
      </x:c>
      <x:c r="G82" s="13" t="str">
        <x:v>2027-03-31</x:v>
      </x:c>
    </x:row>
    <x:row r="83">
      <x:c r="A83" s="13" t="str">
        <x:v>CAP_NORD_SAUR_2025_2027</x:v>
      </x:c>
      <x:c r="B83" s="13" t="str">
        <x:v>97228</x:v>
      </x:c>
      <x:c r="C83" s="13" t="str">
        <x:v>Sainte-Marie</x:v>
      </x:c>
      <x:c r="D83" s="13" t="str">
        <x:v>FULL_COMMUNE</x:v>
      </x:c>
      <x:c r="E83" s="13" t="str"/>
      <x:c r="F83" s="13" t="str">
        <x:v>2025-01-01</x:v>
      </x:c>
      <x:c r="G83" s="13" t="str">
        <x:v>2027-03-31</x:v>
      </x:c>
    </x:row>
    <x:row r="84">
      <x:c r="A84" s="13" t="str">
        <x:v>ROBERT_TRINITE_EXSICSM</x:v>
      </x:c>
      <x:c r="B84" s="13" t="str">
        <x:v>97222</x:v>
      </x:c>
      <x:c r="C84" s="13" t="str">
        <x:v>Le Robert</x:v>
      </x:c>
      <x:c r="D84" s="13" t="str">
        <x:v>PARTIAL_COMMUNE</x:v>
      </x:c>
      <x:c r="E84" s="13" t="str">
        <x:v>ROBERT_EXSICSM</x:v>
      </x:c>
      <x:c r="F84" s="13" t="str">
        <x:v>2017-01-01</x:v>
      </x:c>
      <x:c r="G84" s="13" t="str">
        <x:v>2027-03-31</x:v>
      </x:c>
    </x:row>
    <x:row r="85">
      <x:c r="A85" s="13" t="str">
        <x:v>ROBERT_TRINITE_EXSICSM</x:v>
      </x:c>
      <x:c r="B85" s="13" t="str">
        <x:v>97230</x:v>
      </x:c>
      <x:c r="C85" s="13" t="str">
        <x:v>La Trinité</x:v>
      </x:c>
      <x:c r="D85" s="13" t="str">
        <x:v>PARTIAL_COMMUNE</x:v>
      </x:c>
      <x:c r="E85" s="13" t="str">
        <x:v>TRINITE_EXSICSM</x:v>
      </x:c>
      <x:c r="F85" s="13" t="str">
        <x:v>2017-01-01</x:v>
      </x:c>
      <x:c r="G85" s="13" t="str">
        <x:v>2027-03-31</x:v>
      </x:c>
    </x:row>
    <x:row r="86">
      <x:c r="A86" s="13" t="str">
        <x:v>ROBERT_CN</x:v>
      </x:c>
      <x:c r="B86" s="13" t="str">
        <x:v>97222</x:v>
      </x:c>
      <x:c r="C86" s="13" t="str">
        <x:v>Le Robert</x:v>
      </x:c>
      <x:c r="D86" s="13" t="str">
        <x:v>PARTIAL_COMMUNE</x:v>
      </x:c>
      <x:c r="E86" s="13" t="str">
        <x:v>ROBERT_CN</x:v>
      </x:c>
      <x:c r="F86" s="13" t="str">
        <x:v>2020-04-01</x:v>
      </x:c>
      <x:c r="G86" s="13" t="str">
        <x:v>2024-12-31</x:v>
      </x:c>
    </x:row>
    <x:row r="87">
      <x:c r="A87" s="13" t="str">
        <x:v>TRINITE_CN</x:v>
      </x:c>
      <x:c r="B87" s="13" t="str">
        <x:v>97230</x:v>
      </x:c>
      <x:c r="C87" s="13" t="str">
        <x:v>La Trinité</x:v>
      </x:c>
      <x:c r="D87" s="13" t="str">
        <x:v>PARTIAL_COMMUNE</x:v>
      </x:c>
      <x:c r="E87" s="13" t="str">
        <x:v>TRINITE_CN</x:v>
      </x:c>
      <x:c r="F87" s="13" t="str">
        <x:v>2020-04-01</x:v>
      </x:c>
      <x:c r="G87" s="13" t="str">
        <x:v>2024-12-31</x:v>
      </x:c>
    </x:row>
  </x:sheetData>
  <x:conditionalFormatting sqref="D2:D87">
    <x:cfRule type="expression" dxfId="2" priority="1">
      <x:formula>D2="PARTIAL_COMMUNE"</x:formula>
    </x:cfRule>
    <x:cfRule type="expression" dxfId="3" priority="2">
      <x:formula>D2="FULL_COMMUNE"</x:formula>
    </x:cfRule>
  </x:conditionalFormatting>
  <x:pageMargins left="0.7" right="0.7" top="0.75" bottom="0.75" header="0.3" footer="0.3"/>
  <x:tableParts count="1">
    <x:tablePart xmlns:r="http://schemas.openxmlformats.org/officeDocument/2006/relationships" r:id="Re8fb29002ef94a44"/>
  </x:tableParts>
</x:worksheet>
</file>

<file path=xl/worksheets/sheet5.xml><?xml version="1.0" encoding="utf-8"?>
<x:worksheet xmlns:x="http://schemas.openxmlformats.org/spreadsheetml/2006/main">
  <x:sheetFormatPr defaultRowHeight="15"/>
  <x:cols>
    <x:col min="1" max="1" width="10" hidden="0" customWidth="1"/>
    <x:col min="2" max="2" width="30" hidden="0" customWidth="1"/>
    <x:col min="3" max="3" width="30" hidden="0" customWidth="1"/>
    <x:col min="4" max="4" width="16" hidden="0" customWidth="1"/>
    <x:col min="5" max="5" width="14" hidden="0" customWidth="1"/>
    <x:col min="6" max="6" width="55" hidden="0" customWidth="1"/>
    <x:col min="7" max="7" width="14" hidden="0" customWidth="1"/>
    <x:col min="8" max="8" width="62" hidden="0" customWidth="1"/>
    <x:col min="9" max="9" width="10" hidden="0" customWidth="1"/>
    <x:col min="10" max="10" width="28" hidden="0" customWidth="1"/>
    <x:col min="11" max="11" width="16" hidden="0" customWidth="1"/>
    <x:col min="12" max="12" width="65" hidden="0" customWidth="1"/>
  </x:cols>
  <x:sheetData>
    <x:row r="1">
      <x:c r="A1" s="34" t="str">
        <x:v>Année</x:v>
      </x:c>
      <x:c r="B1" s="34" t="str">
        <x:v>Indicateur</x:v>
      </x:c>
      <x:c r="C1" s="34" t="str">
        <x:v>Périmètre</x:v>
      </x:c>
      <x:c r="D1" s="34" t="str">
        <x:v>Valeur</x:v>
      </x:c>
      <x:c r="E1" s="34" t="str">
        <x:v>Unité</x:v>
      </x:c>
      <x:c r="F1" s="34" t="str">
        <x:v>Définition</x:v>
      </x:c>
      <x:c r="G1" s="34" t="str">
        <x:v>Type source</x:v>
      </x:c>
      <x:c r="H1" s="34" t="str">
        <x:v>Source</x:v>
      </x:c>
      <x:c r="I1" s="34" t="str">
        <x:v>Page</x:v>
      </x:c>
      <x:c r="J1" s="34" t="str">
        <x:v>Qualité</x:v>
      </x:c>
      <x:c r="K1" s="34" t="str">
        <x:v>Rôle</x:v>
      </x:c>
      <x:c r="L1" s="34" t="str">
        <x:v>Note</x:v>
      </x:c>
    </x:row>
    <x:row r="2">
      <x:c r="A2" s="13" t="n">
        <x:v>2023</x:v>
      </x:c>
      <x:c r="B2" s="13" t="str">
        <x:v>EP_ABONNES</x:v>
      </x:c>
      <x:c r="C2" s="13" t="str">
        <x:v>CAP_NORD_DSP_2020_2024</x:v>
      </x:c>
      <x:c r="D2" s="13" t="n">
        <x:v>38372</x:v>
      </x:c>
      <x:c r="E2" s="13" t="str">
        <x:v>abonnés</x:v>
      </x:c>
      <x:c r="F2" s="13" t="str">
        <x:v>Abonnés du contrat CAP Nord incluant les secteurs Robert CN et Trinité CN.</x:v>
      </x:c>
      <x:c r="G2" s="13" t="str">
        <x:v>RAD</x:v>
      </x:c>
      <x:c r="H2" s="13" t="str">
        <x:v>RAD_Eau_potable_CAP_NORD_2023.pdf</x:v>
      </x:c>
      <x:c r="I2" s="13" t="n">
        <x:v>129</x:v>
      </x:c>
      <x:c r="J2" s="13" t="str">
        <x:v>OK</x:v>
      </x:c>
      <x:c r="K2" s="13" t="str">
        <x:v>PRODUCTION</x:v>
      </x:c>
      <x:c r="L2" s="13" t="str">
        <x:v>Tableau détaillé par commune/secteur.</x:v>
      </x:c>
    </x:row>
    <x:row r="3">
      <x:c r="A3" s="13" t="n">
        <x:v>2024</x:v>
      </x:c>
      <x:c r="B3" s="13" t="str">
        <x:v>EP_ABONNES</x:v>
      </x:c>
      <x:c r="C3" s="13" t="str">
        <x:v>CAP_NORD_DSP_2020_2024</x:v>
      </x:c>
      <x:c r="D3" s="13" t="n">
        <x:v>37332</x:v>
      </x:c>
      <x:c r="E3" s="13" t="str">
        <x:v>abonnés</x:v>
      </x:c>
      <x:c r="F3" s="13" t="str">
        <x:v>Abonnés du contrat CAP Nord incluant les secteurs Robert CN et Trinité CN.</x:v>
      </x:c>
      <x:c r="G3" s="13" t="str">
        <x:v>RAD</x:v>
      </x:c>
      <x:c r="H3" s="13" t="str">
        <x:v>RAD_Eau_potable_CAP_NORD_2024.pdf</x:v>
      </x:c>
      <x:c r="I3" s="13" t="n">
        <x:v>151</x:v>
      </x:c>
      <x:c r="J3" s="13" t="str">
        <x:v>OK</x:v>
      </x:c>
      <x:c r="K3" s="13" t="str">
        <x:v>PRODUCTION</x:v>
      </x:c>
      <x:c r="L3" s="13" t="str">
        <x:v>La valeur détaillée contredit le chiffre-clé 38 457 : le détail et le RPQS officiel convergent vers 37 332.</x:v>
      </x:c>
    </x:row>
    <x:row r="4">
      <x:c r="A4" s="13" t="n">
        <x:v>2023</x:v>
      </x:c>
      <x:c r="B4" s="13" t="str">
        <x:v>EP_ABONNES</x:v>
      </x:c>
      <x:c r="C4" s="13" t="str">
        <x:v>ROBERT_TRINITE_EXSICSM</x:v>
      </x:c>
      <x:c r="D4" s="13" t="n">
        <x:v>14266</x:v>
      </x:c>
      <x:c r="E4" s="13" t="str">
        <x:v>abonnés</x:v>
      </x:c>
      <x:c r="F4" s="13" t="str">
        <x:v>Abonnés des secteurs Robert-Trinité relevant du contrat Ex-SICSM.</x:v>
      </x:c>
      <x:c r="G4" s="13" t="str">
        <x:v>RAD</x:v>
      </x:c>
      <x:c r="H4" s="13" t="str">
        <x:v>RAD_Eau_Potable_Ex-SICSM_2023.pdf</x:v>
      </x:c>
      <x:c r="I4" s="13" t="n">
        <x:v>44</x:v>
      </x:c>
      <x:c r="J4" s="13" t="str">
        <x:v>OK</x:v>
      </x:c>
      <x:c r="K4" s="13" t="str">
        <x:v>PRODUCTION</x:v>
      </x:c>
      <x:c r="L4" s="13" t="str"/>
    </x:row>
    <x:row r="5">
      <x:c r="A5" s="13" t="n">
        <x:v>2024</x:v>
      </x:c>
      <x:c r="B5" s="13" t="str">
        <x:v>EP_ABONNES</x:v>
      </x:c>
      <x:c r="C5" s="13" t="str">
        <x:v>ROBERT_TRINITE_EXSICSM</x:v>
      </x:c>
      <x:c r="D5" s="13" t="n">
        <x:v>14414</x:v>
      </x:c>
      <x:c r="E5" s="13" t="str">
        <x:v>abonnés</x:v>
      </x:c>
      <x:c r="F5" s="13" t="str">
        <x:v>Abonnés des secteurs Robert-Trinité relevant du contrat Ex-SICSM.</x:v>
      </x:c>
      <x:c r="G5" s="13" t="str">
        <x:v>RAD</x:v>
      </x:c>
      <x:c r="H5" s="13" t="str">
        <x:v>RAD_Eau_Potable_Ex-SICSM_2024_V3.pdf</x:v>
      </x:c>
      <x:c r="I5" s="13" t="n">
        <x:v>79</x:v>
      </x:c>
      <x:c r="J5" s="13" t="str">
        <x:v>OK</x:v>
      </x:c>
      <x:c r="K5" s="13" t="str">
        <x:v>PRODUCTION</x:v>
      </x:c>
      <x:c r="L5" s="13" t="str"/>
    </x:row>
    <x:row r="6">
      <x:c r="A6" s="13" t="n">
        <x:v>2023</x:v>
      </x:c>
      <x:c r="B6" s="13" t="str">
        <x:v>EP_ABONNES</x:v>
      </x:c>
      <x:c r="C6" s="13" t="str">
        <x:v>CAP_NORD_EPCI</x:v>
      </x:c>
      <x:c r="D6" s="13" t="n">
        <x:v>52638</x:v>
      </x:c>
      <x:c r="E6" s="13" t="str">
        <x:v>abonnés</x:v>
      </x:c>
      <x:c r="F6" s="13" t="str">
        <x:v>Total EPCI = contrat CAP Nord + secteurs Robert-Trinité Ex-SICSM.</x:v>
      </x:c>
      <x:c r="G6" s="13" t="str">
        <x:v>RPQS</x:v>
      </x:c>
      <x:c r="H6" s="13" t="str">
        <x:v>https://www.services.eaufrance.fr/sispea/referential/download-rpqs.action?collectivityId=236434&amp;rpqsId=826773</x:v>
      </x:c>
      <x:c r="I6" s="13" t="n">
        <x:v>7</x:v>
      </x:c>
      <x:c r="J6" s="13" t="str">
        <x:v>OK</x:v>
      </x:c>
      <x:c r="K6" s="13" t="str">
        <x:v>PRODUCTION</x:v>
      </x:c>
      <x:c r="L6" s="13" t="str">
        <x:v>38372 + 14266 = 52638.</x:v>
      </x:c>
    </x:row>
    <x:row r="7">
      <x:c r="A7" s="13" t="n">
        <x:v>2024</x:v>
      </x:c>
      <x:c r="B7" s="13" t="str">
        <x:v>EP_ABONNES</x:v>
      </x:c>
      <x:c r="C7" s="13" t="str">
        <x:v>CAP_NORD_EPCI</x:v>
      </x:c>
      <x:c r="D7" s="13" t="n">
        <x:v>51746</x:v>
      </x:c>
      <x:c r="E7" s="13" t="str">
        <x:v>abonnés</x:v>
      </x:c>
      <x:c r="F7" s="13" t="str">
        <x:v>Total EPCI = contrat CAP Nord + secteurs Robert-Trinité Ex-SICSM.</x:v>
      </x:c>
      <x:c r="G7" s="13" t="str">
        <x:v>RPQS</x:v>
      </x:c>
      <x:c r="H7" s="13" t="str">
        <x:v>https://www.services.eaufrance.fr/sispea/referential/download-rpqs.action?collectivityId=236434&amp;rpqsId=1022913</x:v>
      </x:c>
      <x:c r="I7" s="13" t="n">
        <x:v>6</x:v>
      </x:c>
      <x:c r="J7" s="13" t="str">
        <x:v>OK</x:v>
      </x:c>
      <x:c r="K7" s="13" t="str">
        <x:v>PRODUCTION</x:v>
      </x:c>
      <x:c r="L7" s="13" t="str">
        <x:v>37332 + 14414 = 51746.</x:v>
      </x:c>
    </x:row>
    <x:row r="8">
      <x:c r="A8" s="13" t="n">
        <x:v>2023</x:v>
      </x:c>
      <x:c r="B8" s="13" t="str">
        <x:v>EP_VOLUME_FACTURE_CLIENTELE</x:v>
      </x:c>
      <x:c r="C8" s="13" t="str">
        <x:v>CAP_NORD_DSP_2020_2024</x:v>
      </x:c>
      <x:c r="D8" s="13" t="n">
        <x:v>3824192</x:v>
      </x:c>
      <x:c r="E8" s="13" t="str">
        <x:v>m³/an</x:v>
      </x:c>
      <x:c r="F8" s="13" t="str">
        <x:v>Somme des volumes facturés/vendus du tableau clientèle du RAD.</x:v>
      </x:c>
      <x:c r="G8" s="13" t="str">
        <x:v>RAD</x:v>
      </x:c>
      <x:c r="H8" s="13" t="str">
        <x:v>RAD_Eau_potable_CAP_NORD_2023.pdf</x:v>
      </x:c>
      <x:c r="I8" s="13" t="n">
        <x:v>130</x:v>
      </x:c>
      <x:c r="J8" s="13" t="str">
        <x:v>OK</x:v>
      </x:c>
      <x:c r="K8" s="13" t="str">
        <x:v>PRODUCTION</x:v>
      </x:c>
      <x:c r="L8" s="13" t="str">
        <x:v>Le RPQS donne 3 824 167 m3, écart de 25 m3.</x:v>
      </x:c>
    </x:row>
    <x:row r="9">
      <x:c r="A9" s="13" t="n">
        <x:v>2024</x:v>
      </x:c>
      <x:c r="B9" s="13" t="str">
        <x:v>EP_VOLUME_FACTURE_CLIENTELE</x:v>
      </x:c>
      <x:c r="C9" s="13" t="str">
        <x:v>CAP_NORD_DSP_2020_2024</x:v>
      </x:c>
      <x:c r="D9" s="13" t="n">
        <x:v>3641736</x:v>
      </x:c>
      <x:c r="E9" s="13" t="str">
        <x:v>m³/an</x:v>
      </x:c>
      <x:c r="F9" s="13" t="str">
        <x:v>Somme des volumes facturés du tableau clientèle du RAD.</x:v>
      </x:c>
      <x:c r="G9" s="13" t="str">
        <x:v>RAD</x:v>
      </x:c>
      <x:c r="H9" s="13" t="str">
        <x:v>RAD_Eau_potable_CAP_NORD_2024.pdf</x:v>
      </x:c>
      <x:c r="I9" s="13" t="n">
        <x:v>152</x:v>
      </x:c>
      <x:c r="J9" s="13" t="str">
        <x:v>OK</x:v>
      </x:c>
      <x:c r="K9" s="13" t="str">
        <x:v>PRODUCTION</x:v>
      </x:c>
      <x:c r="L9" s="13" t="str">
        <x:v>À distinguer du volume comptabilisé hydraulique 4 008 632 m3.</x:v>
      </x:c>
    </x:row>
    <x:row r="10">
      <x:c r="A10" s="13" t="n">
        <x:v>2023</x:v>
      </x:c>
      <x:c r="B10" s="13" t="str">
        <x:v>EP_VOLUME_FACTURE_HYDRAULIQUE</x:v>
      </x:c>
      <x:c r="C10" s="13" t="str">
        <x:v>CAP_NORD_DSP_2020_2024</x:v>
      </x:c>
      <x:c r="D10" s="13" t="n">
        <x:v>3670323</x:v>
      </x:c>
      <x:c r="E10" s="13" t="str">
        <x:v>m³/an</x:v>
      </x:c>
      <x:c r="F10" s="13" t="str">
        <x:v>Volume facturé E' utilisé dans le bilan hydraulique/rendement.</x:v>
      </x:c>
      <x:c r="G10" s="13" t="str">
        <x:v>RAD</x:v>
      </x:c>
      <x:c r="H10" s="13" t="str">
        <x:v>RAD_Eau_potable_CAP_NORD_2023.pdf</x:v>
      </x:c>
      <x:c r="I10" s="13" t="n">
        <x:v>64</x:v>
      </x:c>
      <x:c r="J10" s="13" t="str">
        <x:v>OK</x:v>
      </x:c>
      <x:c r="K10" s="13" t="str">
        <x:v>PRODUCTION</x:v>
      </x:c>
      <x:c r="L10" s="13" t="str"/>
    </x:row>
    <x:row r="11">
      <x:c r="A11" s="13" t="n">
        <x:v>2024</x:v>
      </x:c>
      <x:c r="B11" s="13" t="str">
        <x:v>EP_VOLUME_FACTURE_HYDRAULIQUE</x:v>
      </x:c>
      <x:c r="C11" s="13" t="str">
        <x:v>CAP_NORD_DSP_2020_2024</x:v>
      </x:c>
      <x:c r="D11" s="13" t="n">
        <x:v>3641739</x:v>
      </x:c>
      <x:c r="E11" s="13" t="str">
        <x:v>m³/an</x:v>
      </x:c>
      <x:c r="F11" s="13" t="str">
        <x:v>Volume facturé E' utilisé dans le bilan hydraulique/rendement.</x:v>
      </x:c>
      <x:c r="G11" s="13" t="str">
        <x:v>RAD</x:v>
      </x:c>
      <x:c r="H11" s="13" t="str">
        <x:v>RAD_Eau_potable_CAP_NORD_2024.pdf</x:v>
      </x:c>
      <x:c r="I11" s="13" t="n">
        <x:v>46</x:v>
      </x:c>
      <x:c r="J11" s="13" t="str">
        <x:v>OK</x:v>
      </x:c>
      <x:c r="K11" s="13" t="str">
        <x:v>PRODUCTION</x:v>
      </x:c>
      <x:c r="L11" s="13" t="str"/>
    </x:row>
    <x:row r="12">
      <x:c r="A12" s="13" t="n">
        <x:v>2023</x:v>
      </x:c>
      <x:c r="B12" s="13" t="str">
        <x:v>EP_VOLUME_COMPTABILISE</x:v>
      </x:c>
      <x:c r="C12" s="13" t="str">
        <x:v>CAP_NORD_DSP_2020_2024</x:v>
      </x:c>
      <x:c r="D12" s="13" t="n">
        <x:v>3728683</x:v>
      </x:c>
      <x:c r="E12" s="13" t="str">
        <x:v>m³/an</x:v>
      </x:c>
      <x:c r="F12" s="13" t="str">
        <x:v>Volume comptabilisé E = facturé + dégrevé/gratuit.</x:v>
      </x:c>
      <x:c r="G12" s="13" t="str">
        <x:v>RAD</x:v>
      </x:c>
      <x:c r="H12" s="13" t="str">
        <x:v>RAD_Eau_potable_CAP_NORD_2023.pdf</x:v>
      </x:c>
      <x:c r="I12" s="13" t="n">
        <x:v>64</x:v>
      </x:c>
      <x:c r="J12" s="13" t="str">
        <x:v>OK</x:v>
      </x:c>
      <x:c r="K12" s="13" t="str">
        <x:v>PRODUCTION</x:v>
      </x:c>
      <x:c r="L12" s="13" t="str"/>
    </x:row>
    <x:row r="13">
      <x:c r="A13" s="13" t="n">
        <x:v>2024</x:v>
      </x:c>
      <x:c r="B13" s="13" t="str">
        <x:v>EP_VOLUME_COMPTABILISE</x:v>
      </x:c>
      <x:c r="C13" s="13" t="str">
        <x:v>CAP_NORD_DSP_2020_2024</x:v>
      </x:c>
      <x:c r="D13" s="13" t="n">
        <x:v>4008632</x:v>
      </x:c>
      <x:c r="E13" s="13" t="str">
        <x:v>m³/an</x:v>
      </x:c>
      <x:c r="F13" s="13" t="str">
        <x:v>Volume comptabilisé E = facturé + dégrevé/gratuit.</x:v>
      </x:c>
      <x:c r="G13" s="13" t="str">
        <x:v>RAD</x:v>
      </x:c>
      <x:c r="H13" s="13" t="str">
        <x:v>RAD_Eau_potable_CAP_NORD_2024.pdf</x:v>
      </x:c>
      <x:c r="I13" s="13" t="n">
        <x:v>47</x:v>
      </x:c>
      <x:c r="J13" s="13" t="str">
        <x:v>OK</x:v>
      </x:c>
      <x:c r="K13" s="13" t="str">
        <x:v>PRODUCTION</x:v>
      </x:c>
      <x:c r="L13" s="13" t="str"/>
    </x:row>
    <x:row r="14">
      <x:c r="A14" s="13" t="n">
        <x:v>2023</x:v>
      </x:c>
      <x:c r="B14" s="13" t="str">
        <x:v>P104.3</x:v>
      </x:c>
      <x:c r="C14" s="13" t="str">
        <x:v>CAP_NORD_DSP_2020_2024</x:v>
      </x:c>
      <x:c r="D14" s="13" t="n">
        <x:v>51.53</x:v>
      </x:c>
      <x:c r="E14" s="13" t="str">
        <x:v>%</x:v>
      </x:c>
      <x:c r="F14" s="13" t="str">
        <x:v>Rendement du réseau du contrat CAP Nord publié dans le RAD 2023.</x:v>
      </x:c>
      <x:c r="G14" s="13" t="str">
        <x:v>RAD</x:v>
      </x:c>
      <x:c r="H14" s="13" t="str">
        <x:v>RAD_Eau_potable_CAP_NORD_2023.pdf</x:v>
      </x:c>
      <x:c r="I14" s="13" t="n">
        <x:v>66</x:v>
      </x:c>
      <x:c r="J14" s="13" t="str">
        <x:v>REVISED_LATER</x:v>
      </x:c>
      <x:c r="K14" s="13" t="str">
        <x:v>AUDIT</x:v>
      </x:c>
      <x:c r="L14" s="13" t="str">
        <x:v>Le RAD 2024 révise la valeur historique 2023 à 53,17 %.</x:v>
      </x:c>
    </x:row>
    <x:row r="15">
      <x:c r="A15" s="13" t="n">
        <x:v>2023</x:v>
      </x:c>
      <x:c r="B15" s="13" t="str">
        <x:v>P104.3_REVISED</x:v>
      </x:c>
      <x:c r="C15" s="13" t="str">
        <x:v>CAP_NORD_DSP_2020_2024</x:v>
      </x:c>
      <x:c r="D15" s="13" t="n">
        <x:v>53.17</x:v>
      </x:c>
      <x:c r="E15" s="13" t="str">
        <x:v>%</x:v>
      </x:c>
      <x:c r="F15" s="13" t="str">
        <x:v>Rendement 2023 révisé tel que repris dans le RAD 2024.</x:v>
      </x:c>
      <x:c r="G15" s="13" t="str">
        <x:v>RAD</x:v>
      </x:c>
      <x:c r="H15" s="13" t="str">
        <x:v>RAD_Eau_potable_CAP_NORD_2024.pdf</x:v>
      </x:c>
      <x:c r="I15" s="13" t="n">
        <x:v>48</x:v>
      </x:c>
      <x:c r="J15" s="13" t="str">
        <x:v>REVISED_BY_LATER_SOURCE</x:v>
      </x:c>
      <x:c r="K15" s="13" t="str">
        <x:v>PRODUCTION</x:v>
      </x:c>
      <x:c r="L15" s="13" t="str">
        <x:v>Ne pas écraser la publication initiale.</x:v>
      </x:c>
    </x:row>
    <x:row r="16">
      <x:c r="A16" s="13" t="n">
        <x:v>2024</x:v>
      </x:c>
      <x:c r="B16" s="13" t="str">
        <x:v>P104.3</x:v>
      </x:c>
      <x:c r="C16" s="13" t="str">
        <x:v>CAP_NORD_DSP_2020_2024</x:v>
      </x:c>
      <x:c r="D16" s="13" t="n">
        <x:v>54.95</x:v>
      </x:c>
      <x:c r="E16" s="13" t="str">
        <x:v>%</x:v>
      </x:c>
      <x:c r="F16" s="13" t="str">
        <x:v>Rendement du réseau du contrat CAP Nord.</x:v>
      </x:c>
      <x:c r="G16" s="13" t="str">
        <x:v>RAD</x:v>
      </x:c>
      <x:c r="H16" s="13" t="str">
        <x:v>RAD_Eau_potable_CAP_NORD_2024.pdf</x:v>
      </x:c>
      <x:c r="I16" s="13" t="n">
        <x:v>48</x:v>
      </x:c>
      <x:c r="J16" s="13" t="str">
        <x:v>OK</x:v>
      </x:c>
      <x:c r="K16" s="13" t="str">
        <x:v>PRODUCTION</x:v>
      </x:c>
      <x:c r="L16" s="13" t="str"/>
    </x:row>
    <x:row r="17">
      <x:c r="A17" s="13" t="n">
        <x:v>2023</x:v>
      </x:c>
      <x:c r="B17" s="13" t="str">
        <x:v>P106.3</x:v>
      </x:c>
      <x:c r="C17" s="13" t="str">
        <x:v>CAP_NORD_DSP_2020_2024</x:v>
      </x:c>
      <x:c r="D17" s="13" t="n">
        <x:v>10.97</x:v>
      </x:c>
      <x:c r="E17" s="13" t="str">
        <x:v>m³/km/j</x:v>
      </x:c>
      <x:c r="F17" s="13" t="str">
        <x:v>Indice linéaire de pertes du contrat CAP Nord.</x:v>
      </x:c>
      <x:c r="G17" s="13" t="str">
        <x:v>RAD</x:v>
      </x:c>
      <x:c r="H17" s="13" t="str">
        <x:v>RAD_Eau_potable_CAP_NORD_2023.pdf</x:v>
      </x:c>
      <x:c r="I17" s="13" t="n">
        <x:v>65</x:v>
      </x:c>
      <x:c r="J17" s="13" t="str">
        <x:v>OK</x:v>
      </x:c>
      <x:c r="K17" s="13" t="str">
        <x:v>PRODUCTION</x:v>
      </x:c>
      <x:c r="L17" s="13" t="str"/>
    </x:row>
    <x:row r="18">
      <x:c r="A18" s="13" t="n">
        <x:v>2024</x:v>
      </x:c>
      <x:c r="B18" s="13" t="str">
        <x:v>P106.3</x:v>
      </x:c>
      <x:c r="C18" s="13" t="str">
        <x:v>CAP_NORD_DSP_2020_2024</x:v>
      </x:c>
      <x:c r="D18" s="13" t="n">
        <x:v>9.87</x:v>
      </x:c>
      <x:c r="E18" s="13" t="str">
        <x:v>m³/km/j</x:v>
      </x:c>
      <x:c r="F18" s="13" t="str">
        <x:v>Indice linéaire de pertes du contrat CAP Nord.</x:v>
      </x:c>
      <x:c r="G18" s="13" t="str">
        <x:v>RAD</x:v>
      </x:c>
      <x:c r="H18" s="13" t="str">
        <x:v>RAD_Eau_potable_CAP_NORD_2024.pdf</x:v>
      </x:c>
      <x:c r="I18" s="13" t="n">
        <x:v>47</x:v>
      </x:c>
      <x:c r="J18" s="13" t="str">
        <x:v>OK</x:v>
      </x:c>
      <x:c r="K18" s="13" t="str">
        <x:v>PRODUCTION</x:v>
      </x:c>
      <x:c r="L18" s="13" t="str"/>
    </x:row>
    <x:row r="19">
      <x:c r="A19" s="13" t="n">
        <x:v>2023</x:v>
      </x:c>
      <x:c r="B19" s="13" t="str">
        <x:v>P104.3_CONTRACT</x:v>
      </x:c>
      <x:c r="C19" s="13" t="str">
        <x:v>EX_SICSM_DSP_2015_2027</x:v>
      </x:c>
      <x:c r="D19" s="13" t="n">
        <x:v>80</x:v>
      </x:c>
      <x:c r="E19" s="13" t="str">
        <x:v>%</x:v>
      </x:c>
      <x:c r="F19" s="13" t="str">
        <x:v>P104.3 calculé pour le périmètre entier Ex-SICSM.</x:v>
      </x:c>
      <x:c r="G19" s="13" t="str">
        <x:v>RAD</x:v>
      </x:c>
      <x:c r="H19" s="13" t="str">
        <x:v>RAD_Eau_Potable_Ex-SICSM_2023.pdf</x:v>
      </x:c>
      <x:c r="I19" s="13" t="n">
        <x:v>105</x:v>
      </x:c>
      <x:c r="J19" s="13" t="str">
        <x:v>OK</x:v>
      </x:c>
      <x:c r="K19" s="13" t="str">
        <x:v>PRODUCTION</x:v>
      </x:c>
      <x:c r="L19" s="13" t="str">
        <x:v>Le RAD indique que rendement/ILP ne sont pas ventilables entre CAESM et Robert-Trinité.</x:v>
      </x:c>
    </x:row>
    <x:row r="20">
      <x:c r="A20" s="13" t="n">
        <x:v>2024</x:v>
      </x:c>
      <x:c r="B20" s="13" t="str">
        <x:v>P104.3_CONTRACT</x:v>
      </x:c>
      <x:c r="C20" s="13" t="str">
        <x:v>EX_SICSM_DSP_2015_2027</x:v>
      </x:c>
      <x:c r="D20" s="13" t="n">
        <x:v>80.4</x:v>
      </x:c>
      <x:c r="E20" s="13" t="str">
        <x:v>%</x:v>
      </x:c>
      <x:c r="F20" s="13" t="str">
        <x:v>P104.3 calculé pour le périmètre entier Ex-SICSM.</x:v>
      </x:c>
      <x:c r="G20" s="13" t="str">
        <x:v>RAD</x:v>
      </x:c>
      <x:c r="H20" s="13" t="str">
        <x:v>RAD_Eau_Potable_Ex-SICSM_2024_V3.pdf</x:v>
      </x:c>
      <x:c r="I20" s="13" t="n">
        <x:v>128</x:v>
      </x:c>
      <x:c r="J20" s="13" t="str">
        <x:v>OK</x:v>
      </x:c>
      <x:c r="K20" s="13" t="str">
        <x:v>PRODUCTION</x:v>
      </x:c>
      <x:c r="L20" s="13" t="str"/>
    </x:row>
    <x:row r="21">
      <x:c r="A21" s="13" t="n">
        <x:v>2023</x:v>
      </x:c>
      <x:c r="B21" s="13" t="str">
        <x:v>P106.3_CONTRACT</x:v>
      </x:c>
      <x:c r="C21" s="13" t="str">
        <x:v>EX_SICSM_DSP_2015_2027</x:v>
      </x:c>
      <x:c r="D21" s="13" t="n">
        <x:v>6.53</x:v>
      </x:c>
      <x:c r="E21" s="13" t="str">
        <x:v>m³/km/j</x:v>
      </x:c>
      <x:c r="F21" s="13" t="str">
        <x:v>ILP/pertes du périmètre entier Ex-SICSM.</x:v>
      </x:c>
      <x:c r="G21" s="13" t="str">
        <x:v>RAD</x:v>
      </x:c>
      <x:c r="H21" s="13" t="str">
        <x:v>RAD_Eau_Potable_Ex-SICSM_2023.pdf</x:v>
      </x:c>
      <x:c r="I21" s="13" t="n">
        <x:v>105</x:v>
      </x:c>
      <x:c r="J21" s="13" t="str">
        <x:v>OK</x:v>
      </x:c>
      <x:c r="K21" s="13" t="str">
        <x:v>PRODUCTION</x:v>
      </x:c>
      <x:c r="L21" s="13" t="str"/>
    </x:row>
    <x:row r="22">
      <x:c r="A22" s="13" t="n">
        <x:v>2024</x:v>
      </x:c>
      <x:c r="B22" s="13" t="str">
        <x:v>P106.3_CONTRACT</x:v>
      </x:c>
      <x:c r="C22" s="13" t="str">
        <x:v>EX_SICSM_DSP_2015_2027</x:v>
      </x:c>
      <x:c r="D22" s="13" t="n">
        <x:v>6.28</x:v>
      </x:c>
      <x:c r="E22" s="13" t="str">
        <x:v>m³/km/j</x:v>
      </x:c>
      <x:c r="F22" s="13" t="str">
        <x:v>ILP/pertes du périmètre entier Ex-SICSM.</x:v>
      </x:c>
      <x:c r="G22" s="13" t="str">
        <x:v>RAD</x:v>
      </x:c>
      <x:c r="H22" s="13" t="str">
        <x:v>RAD_Eau_Potable_Ex-SICSM_2024_V3.pdf</x:v>
      </x:c>
      <x:c r="I22" s="13" t="n">
        <x:v>128</x:v>
      </x:c>
      <x:c r="J22" s="13" t="str">
        <x:v>OK</x:v>
      </x:c>
      <x:c r="K22" s="13" t="str">
        <x:v>PRODUCTION</x:v>
      </x:c>
      <x:c r="L22" s="13" t="str"/>
    </x:row>
    <x:row r="23">
      <x:c r="A23" s="13" t="n">
        <x:v>2023</x:v>
      </x:c>
      <x:c r="B23" s="13" t="str">
        <x:v>P104.3_REPORTED_RT</x:v>
      </x:c>
      <x:c r="C23" s="13" t="str">
        <x:v>ROBERT_TRINITE_EXSICSM</x:v>
      </x:c>
      <x:c r="D23" s="13" t="n">
        <x:v>80.63</x:v>
      </x:c>
      <x:c r="E23" s="13" t="str">
        <x:v>%</x:v>
      </x:c>
      <x:c r="F23" s="13" t="str">
        <x:v>Valeur RPQS libellée Robert-Trinité / ex-SICSM.</x:v>
      </x:c>
      <x:c r="G23" s="13" t="str">
        <x:v>RPQS</x:v>
      </x:c>
      <x:c r="H23" s="13" t="str">
        <x:v>https://www.services.eaufrance.fr/sispea/referential/download-rpqs.action?collectivityId=236434&amp;rpqsId=831713</x:v>
      </x:c>
      <x:c r="I23" s="13" t="n">
        <x:v>34</x:v>
      </x:c>
      <x:c r="J23" s="13" t="str">
        <x:v>PERIMETER_SCOPE_AMBIGUOUS</x:v>
      </x:c>
      <x:c r="K23" s="13" t="str">
        <x:v>DIAGNOSTIC</x:v>
      </x:c>
      <x:c r="L23" s="13" t="str">
        <x:v>Proche du rendement technique de l'ensemble Ex-SICSM, alors que le RAD dit l'indicateur non ventilable.</x:v>
      </x:c>
    </x:row>
    <x:row r="24">
      <x:c r="A24" s="13" t="n">
        <x:v>2024</x:v>
      </x:c>
      <x:c r="B24" s="13" t="str">
        <x:v>P104.3_REPORTED_RT</x:v>
      </x:c>
      <x:c r="C24" s="13" t="str">
        <x:v>ROBERT_TRINITE_EXSICSM</x:v>
      </x:c>
      <x:c r="D24" s="13" t="n">
        <x:v>41.3</x:v>
      </x:c>
      <x:c r="E24" s="13" t="str">
        <x:v>%</x:v>
      </x:c>
      <x:c r="F24" s="13" t="str">
        <x:v>Valeur RPQS 2024 publiée dans un tableau récapitulatif.</x:v>
      </x:c>
      <x:c r="G24" s="13" t="str">
        <x:v>RPQS</x:v>
      </x:c>
      <x:c r="H24" s="13" t="str">
        <x:v>https://www.services.eaufrance.fr/sispea/referential/download-rpqs.action?collectivityId=236434&amp;rpqsId=1022913</x:v>
      </x:c>
      <x:c r="I24" s="13" t="n">
        <x:v>40</x:v>
      </x:c>
      <x:c r="J24" s="13" t="str">
        <x:v>SOURCE_ERROR_SUSPECTED</x:v>
      </x:c>
      <x:c r="K24" s="13" t="str">
        <x:v>AUDIT</x:v>
      </x:c>
      <x:c r="L24" s="13" t="str">
        <x:v>Incompatible avec le RAD et une correction CAP Nord ultérieure à 81 %.</x:v>
      </x:c>
    </x:row>
    <x:row r="25">
      <x:c r="A25" s="13" t="n">
        <x:v>2024</x:v>
      </x:c>
      <x:c r="B25" s="13" t="str">
        <x:v>P104.3_REPORTED_RT_CORRECTED</x:v>
      </x:c>
      <x:c r="C25" s="13" t="str">
        <x:v>ROBERT_TRINITE_EXSICSM</x:v>
      </x:c>
      <x:c r="D25" s="13" t="n">
        <x:v>81</x:v>
      </x:c>
      <x:c r="E25" s="13" t="str">
        <x:v>%</x:v>
      </x:c>
      <x:c r="F25" s="13" t="str">
        <x:v>Valeur figurant dans un document CAP Nord ultérieur.</x:v>
      </x:c>
      <x:c r="G25" s="13" t="str">
        <x:v>CAP_NORD</x:v>
      </x:c>
      <x:c r="H25" s="13" t="str">
        <x:v>https://politique.pappers.fr/commune/document/7bbc838df394e19132363f2e808df0e0</x:v>
      </x:c>
      <x:c r="I25" s="13" t="str"/>
      <x:c r="J25" s="13" t="str">
        <x:v>REVISED_BY_LATER_SOURCE</x:v>
      </x:c>
      <x:c r="K25" s="13" t="str">
        <x:v>DIAGNOSTIC</x:v>
      </x:c>
      <x:c r="L25" s="13" t="str">
        <x:v>Cohérent avec le rendement technique Ex-SICSM 81,0 %, mais le RAD ne permet pas d'établir un P104.3 autonome RT.</x:v>
      </x:c>
    </x:row>
    <x:row r="26">
      <x:c r="A26" s="13" t="n">
        <x:v>2023</x:v>
      </x:c>
      <x:c r="B26" s="13" t="str">
        <x:v>EP_VOLUME_VENDU_RPQS</x:v>
      </x:c>
      <x:c r="C26" s="13" t="str">
        <x:v>CAP_NORD_DSP_2020_2024</x:v>
      </x:c>
      <x:c r="D26" s="13" t="n">
        <x:v>3824167</x:v>
      </x:c>
      <x:c r="E26" s="13" t="str">
        <x:v>m³/an</x:v>
      </x:c>
      <x:c r="F26" s="13" t="str">
        <x:v>Volumes vendus aux abonnés « 16 communes » au RPQS.</x:v>
      </x:c>
      <x:c r="G26" s="13" t="str">
        <x:v>RPQS</x:v>
      </x:c>
      <x:c r="H26" s="13" t="str">
        <x:v>https://www.services.eaufrance.fr/sispea/referential/download-rpqs.action?collectivityId=236434&amp;rpqsId=831713</x:v>
      </x:c>
      <x:c r="I26" s="13" t="n">
        <x:v>11</x:v>
      </x:c>
      <x:c r="J26" s="13" t="str">
        <x:v>OK</x:v>
      </x:c>
      <x:c r="K26" s="13" t="str">
        <x:v>DIAGNOSTIC</x:v>
      </x:c>
      <x:c r="L26" s="13" t="str">
        <x:v>Écart de 25 m3 avec le tableau clientèle du RAD.</x:v>
      </x:c>
    </x:row>
    <x:row r="27">
      <x:c r="A27" s="13" t="n">
        <x:v>2024</x:v>
      </x:c>
      <x:c r="B27" s="13" t="str">
        <x:v>EP_VOLUME_VENDU_RPQS</x:v>
      </x:c>
      <x:c r="C27" s="13" t="str">
        <x:v>CAP_NORD_DSP_2020_2024</x:v>
      </x:c>
      <x:c r="D27" s="13" t="n">
        <x:v>4008632</x:v>
      </x:c>
      <x:c r="E27" s="13" t="str">
        <x:v>m³/an</x:v>
      </x:c>
      <x:c r="F27" s="13" t="str">
        <x:v>Volumes vendus aux abonnés « 16 communes » au RPQS.</x:v>
      </x:c>
      <x:c r="G27" s="13" t="str">
        <x:v>RPQS</x:v>
      </x:c>
      <x:c r="H27" s="13" t="str">
        <x:v>https://www.services.eaufrance.fr/sispea/referential/download-rpqs.action?collectivityId=236434&amp;rpqsId=1022913</x:v>
      </x:c>
      <x:c r="I27" s="13" t="n">
        <x:v>11</x:v>
      </x:c>
      <x:c r="J27" s="13" t="str">
        <x:v>DEFINITION_MISMATCH</x:v>
      </x:c>
      <x:c r="K27" s="13" t="str">
        <x:v>DIAGNOSTIC</x:v>
      </x:c>
      <x:c r="L27" s="13" t="str">
        <x:v>Correspond exactement au volume comptabilisé hydraulique, pas au volume facturé clientèle 3 641 736 m3.</x:v>
      </x:c>
    </x:row>
    <x:row r="28">
      <x:c r="A28" s="13" t="n">
        <x:v>2023</x:v>
      </x:c>
      <x:c r="B28" s="13" t="str">
        <x:v>EP_VOLUME_VENDU_RPQS</x:v>
      </x:c>
      <x:c r="C28" s="13" t="str">
        <x:v>ROBERT_TRINITE_EXSICSM</x:v>
      </x:c>
      <x:c r="D28" s="13" t="n">
        <x:v>1898167</x:v>
      </x:c>
      <x:c r="E28" s="13" t="str">
        <x:v>m³/an</x:v>
      </x:c>
      <x:c r="F28" s="13" t="str">
        <x:v>Volumes vendus aux abonnés Robert-Trinité contrat ex-SICSM.</x:v>
      </x:c>
      <x:c r="G28" s="13" t="str">
        <x:v>RPQS</x:v>
      </x:c>
      <x:c r="H28" s="13" t="str">
        <x:v>https://www.services.eaufrance.fr/sispea/referential/download-rpqs.action?collectivityId=236434&amp;rpqsId=831713</x:v>
      </x:c>
      <x:c r="I28" s="13" t="n">
        <x:v>11</x:v>
      </x:c>
      <x:c r="J28" s="13" t="str">
        <x:v>OK</x:v>
      </x:c>
      <x:c r="K28" s="13" t="str">
        <x:v>PRODUCTION</x:v>
      </x:c>
      <x:c r="L28" s="13" t="str"/>
    </x:row>
    <x:row r="29">
      <x:c r="A29" s="13" t="n">
        <x:v>2024</x:v>
      </x:c>
      <x:c r="B29" s="13" t="str">
        <x:v>EP_VOLUME_VENDU_RPQS</x:v>
      </x:c>
      <x:c r="C29" s="13" t="str">
        <x:v>ROBERT_TRINITE_EXSICSM</x:v>
      </x:c>
      <x:c r="D29" s="13" t="n">
        <x:v>1854464</x:v>
      </x:c>
      <x:c r="E29" s="13" t="str">
        <x:v>m³/an</x:v>
      </x:c>
      <x:c r="F29" s="13" t="str">
        <x:v>Volumes vendus aux abonnés Robert-Trinité contrat ex-SICSM.</x:v>
      </x:c>
      <x:c r="G29" s="13" t="str">
        <x:v>RPQS</x:v>
      </x:c>
      <x:c r="H29" s="13" t="str">
        <x:v>https://www.services.eaufrance.fr/sispea/referential/download-rpqs.action?collectivityId=236434&amp;rpqsId=1022913</x:v>
      </x:c>
      <x:c r="I29" s="13" t="n">
        <x:v>11</x:v>
      </x:c>
      <x:c r="J29" s="13" t="str">
        <x:v>OK</x:v>
      </x:c>
      <x:c r="K29" s="13" t="str">
        <x:v>PRODUCTION</x:v>
      </x:c>
      <x:c r="L29" s="13" t="str">
        <x:v>RAD chiffre-clé : 1 854 351 m3, écart 113 m3.</x:v>
      </x:c>
    </x:row>
    <x:row r="30">
      <x:c r="A30" s="13" t="n">
        <x:v>2023</x:v>
      </x:c>
      <x:c r="B30" s="13" t="str">
        <x:v>EP_VOLUME_VENDU_RPQS</x:v>
      </x:c>
      <x:c r="C30" s="13" t="str">
        <x:v>CAP_NORD_EPCI</x:v>
      </x:c>
      <x:c r="D30" s="13" t="n">
        <x:v>5722534</x:v>
      </x:c>
      <x:c r="E30" s="13" t="str">
        <x:v>m³/an</x:v>
      </x:c>
      <x:c r="F30" s="13" t="str">
        <x:v>Total vendu aux abonnés de l'EPCI.</x:v>
      </x:c>
      <x:c r="G30" s="13" t="str">
        <x:v>RPQS</x:v>
      </x:c>
      <x:c r="H30" s="13" t="str">
        <x:v>https://www.services.eaufrance.fr/sispea/referential/download-rpqs.action?collectivityId=236434&amp;rpqsId=831713</x:v>
      </x:c>
      <x:c r="I30" s="13" t="n">
        <x:v>11</x:v>
      </x:c>
      <x:c r="J30" s="13" t="str">
        <x:v>OK</x:v>
      </x:c>
      <x:c r="K30" s="13" t="str">
        <x:v>PRODUCTION</x:v>
      </x:c>
      <x:c r="L30" s="13" t="str"/>
    </x:row>
    <x:row r="31">
      <x:c r="A31" s="13" t="n">
        <x:v>2024</x:v>
      </x:c>
      <x:c r="B31" s="13" t="str">
        <x:v>EP_VOLUME_VENDU_RPQS</x:v>
      </x:c>
      <x:c r="C31" s="13" t="str">
        <x:v>CAP_NORD_EPCI</x:v>
      </x:c>
      <x:c r="D31" s="13" t="n">
        <x:v>5863096</x:v>
      </x:c>
      <x:c r="E31" s="13" t="str">
        <x:v>m³/an</x:v>
      </x:c>
      <x:c r="F31" s="13" t="str">
        <x:v>Total vendu aux abonnés de l'EPCI.</x:v>
      </x:c>
      <x:c r="G31" s="13" t="str">
        <x:v>RPQS</x:v>
      </x:c>
      <x:c r="H31" s="13" t="str">
        <x:v>https://www.services.eaufrance.fr/sispea/referential/download-rpqs.action?collectivityId=236434&amp;rpqsId=1022913</x:v>
      </x:c>
      <x:c r="I31" s="13" t="n">
        <x:v>11</x:v>
      </x:c>
      <x:c r="J31" s="13" t="str">
        <x:v>DEFINITION_REVIEW_REQUIRED</x:v>
      </x:c>
      <x:c r="K31" s="13" t="str">
        <x:v>DIAGNOSTIC</x:v>
      </x:c>
      <x:c r="L31" s="13" t="str">
        <x:v>Le composant 16 communes correspond au volume comptabilisé hydraulique, donc ne pas assimiler à « volume facturé » sans validation.</x:v>
      </x:c>
    </x:row>
  </x:sheetData>
  <x:conditionalFormatting sqref="K2:K31">
    <x:cfRule type="expression" dxfId="4" priority="1">
      <x:formula>K2="PRODUCTION"</x:formula>
    </x:cfRule>
    <x:cfRule type="expression" dxfId="5" priority="2">
      <x:formula>K2="DIAGNOSTIC"</x:formula>
    </x:cfRule>
    <x:cfRule type="expression" dxfId="6" priority="3">
      <x:formula>K2="AUDIT"</x:formula>
    </x:cfRule>
  </x:conditionalFormatting>
  <x:conditionalFormatting sqref="J2:J31">
    <x:cfRule type="expression" dxfId="7" priority="4">
      <x:formula>ISNUMBER(SEARCH("ERROR",J2))</x:formula>
    </x:cfRule>
    <x:cfRule type="expression" dxfId="8" priority="5">
      <x:formula>ISNUMBER(SEARCH("AMBIGUOUS",J2))</x:formula>
    </x:cfRule>
  </x:conditionalFormatting>
  <x:pageMargins left="0.7" right="0.7" top="0.75" bottom="0.75" header="0.3" footer="0.3"/>
  <x:tableParts count="1">
    <x:tablePart xmlns:r="http://schemas.openxmlformats.org/officeDocument/2006/relationships" r:id="R16d014eb77954807"/>
  </x:tableParts>
</x:worksheet>
</file>

<file path=xl/worksheets/sheet6.xml><?xml version="1.0" encoding="utf-8"?>
<x:worksheet xmlns:x="http://schemas.openxmlformats.org/spreadsheetml/2006/main">
  <x:sheetFormatPr defaultRowHeight="15"/>
  <x:cols>
    <x:col min="1" max="1" width="10" hidden="0" customWidth="1"/>
    <x:col min="2" max="2" width="18" hidden="0" customWidth="1"/>
    <x:col min="3" max="3" width="20" hidden="0" customWidth="1"/>
    <x:col min="4" max="4" width="14" hidden="0" customWidth="1"/>
    <x:col min="5" max="5" width="20" hidden="0" customWidth="1"/>
    <x:col min="6" max="6" width="44" hidden="0" customWidth="1"/>
    <x:col min="7" max="7" width="10" hidden="0" customWidth="1"/>
  </x:cols>
  <x:sheetData>
    <x:row r="1">
      <x:c r="A1" s="34" t="str">
        <x:v>Année</x:v>
      </x:c>
      <x:c r="B1" s="34" t="str">
        <x:v>Secteur</x:v>
      </x:c>
      <x:c r="C1" s="34" t="str">
        <x:v>Commune</x:v>
      </x:c>
      <x:c r="D1" s="34" t="str">
        <x:v>Abonnés</x:v>
      </x:c>
      <x:c r="E1" s="34" t="str">
        <x:v>Volume facturé m³</x:v>
      </x:c>
      <x:c r="F1" s="34" t="str">
        <x:v>Source</x:v>
      </x:c>
      <x:c r="G1" s="34" t="str">
        <x:v>Page</x:v>
      </x:c>
    </x:row>
    <x:row r="2">
      <x:c r="A2" s="13" t="n">
        <x:v>2023</x:v>
      </x:c>
      <x:c r="B2" s="13" t="str">
        <x:v>ROBERT_CN</x:v>
      </x:c>
      <x:c r="C2" s="13" t="str">
        <x:v>Le Robert</x:v>
      </x:c>
      <x:c r="D2" s="36" t="n">
        <x:v>2365</x:v>
      </x:c>
      <x:c r="E2" s="36" t="n">
        <x:v>206077</x:v>
      </x:c>
      <x:c r="F2" s="13" t="str">
        <x:v>RAD_Eau_potable_CAP_NORD_2023.pdf</x:v>
      </x:c>
      <x:c r="G2" s="13" t="n">
        <x:v>129</x:v>
      </x:c>
    </x:row>
    <x:row r="3">
      <x:c r="A3" s="13" t="n">
        <x:v>2023</x:v>
      </x:c>
      <x:c r="B3" s="13" t="str">
        <x:v>TRINITE_CN</x:v>
      </x:c>
      <x:c r="C3" s="13" t="str">
        <x:v>La Trinité</x:v>
      </x:c>
      <x:c r="D3" s="36" t="n">
        <x:v>776</x:v>
      </x:c>
      <x:c r="E3" s="36" t="n">
        <x:v>63008</x:v>
      </x:c>
      <x:c r="F3" s="13" t="str">
        <x:v>RAD_Eau_potable_CAP_NORD_2023.pdf</x:v>
      </x:c>
      <x:c r="G3" s="13" t="n">
        <x:v>129</x:v>
      </x:c>
    </x:row>
    <x:row r="4">
      <x:c r="A4" s="13" t="n">
        <x:v>2024</x:v>
      </x:c>
      <x:c r="B4" s="13" t="str">
        <x:v>ROBERT_CN</x:v>
      </x:c>
      <x:c r="C4" s="13" t="str">
        <x:v>Le Robert</x:v>
      </x:c>
      <x:c r="D4" s="36" t="n">
        <x:v>2318</x:v>
      </x:c>
      <x:c r="E4" s="36" t="n">
        <x:v>204544</x:v>
      </x:c>
      <x:c r="F4" s="13" t="str">
        <x:v>RAD_Eau_potable_CAP_NORD_2024.pdf</x:v>
      </x:c>
      <x:c r="G4" s="13" t="n">
        <x:v>151</x:v>
      </x:c>
    </x:row>
    <x:row r="5">
      <x:c r="A5" s="13" t="n">
        <x:v>2024</x:v>
      </x:c>
      <x:c r="B5" s="13" t="str">
        <x:v>TRINITE_CN</x:v>
      </x:c>
      <x:c r="C5" s="13" t="str">
        <x:v>La Trinité</x:v>
      </x:c>
      <x:c r="D5" s="36" t="n">
        <x:v>771</x:v>
      </x:c>
      <x:c r="E5" s="36" t="n">
        <x:v>58438</x:v>
      </x:c>
      <x:c r="F5" s="13" t="str">
        <x:v>RAD_Eau_potable_CAP_NORD_2024.pdf</x:v>
      </x:c>
      <x:c r="G5" s="13" t="n">
        <x:v>151</x:v>
      </x:c>
    </x:row>
  </x:sheetData>
  <x:pageMargins left="0.7" right="0.7" top="0.75" bottom="0.75" header="0.3" footer="0.3"/>
  <x:tableParts count="1">
    <x:tablePart xmlns:r="http://schemas.openxmlformats.org/officeDocument/2006/relationships" r:id="R2d9842df28294e79"/>
  </x:tableParts>
</x:worksheet>
</file>

<file path=xl/worksheets/sheet7.xml><?xml version="1.0" encoding="utf-8"?>
<x:worksheet xmlns:x="http://schemas.openxmlformats.org/spreadsheetml/2006/main">
  <x:sheetFormatPr defaultRowHeight="15"/>
  <x:cols>
    <x:col min="1" max="1" width="10" hidden="0" customWidth="1"/>
    <x:col min="2" max="2" width="28" hidden="0" customWidth="1"/>
    <x:col min="3" max="3" width="34" hidden="0" customWidth="1"/>
    <x:col min="4" max="4" width="14" hidden="0" customWidth="1"/>
    <x:col min="5" max="5" width="70" hidden="0" customWidth="1"/>
    <x:col min="6" max="6" width="65" hidden="0" customWidth="1"/>
    <x:col min="7" max="7" width="72" hidden="0" customWidth="1"/>
  </x:cols>
  <x:sheetData>
    <x:row r="1">
      <x:c r="A1" s="34" t="str">
        <x:v>Année</x:v>
      </x:c>
      <x:c r="B1" s="34" t="str">
        <x:v>Objet</x:v>
      </x:c>
      <x:c r="C1" s="34" t="str">
        <x:v>Type anomalie</x:v>
      </x:c>
      <x:c r="D1" s="34" t="str">
        <x:v>Sévérité</x:v>
      </x:c>
      <x:c r="E1" s="34" t="str">
        <x:v>Observation</x:v>
      </x:c>
      <x:c r="F1" s="34" t="str">
        <x:v>Décision pipeline</x:v>
      </x:c>
      <x:c r="G1" s="34" t="str">
        <x:v>Source</x:v>
      </x:c>
    </x:row>
    <x:row r="2">
      <x:c r="A2" s="13" t="n">
        <x:v>2023</x:v>
      </x:c>
      <x:c r="B2" s="13" t="str">
        <x:v>Robert-Trinité / Ex-SICSM</x:v>
      </x:c>
      <x:c r="C2" s="13" t="str">
        <x:v>PERIMETER_MISATTRIBUTION</x:v>
      </x:c>
      <x:c r="D2" s="13" t="str">
        <x:v>HIGH</x:v>
      </x:c>
      <x:c r="E2" s="13" t="str">
        <x:v>Le rapport Plan Eau DOM signale que certaines données Robert-Trinité dans SISPEA sont identiques à celles de la CAESM, avec 0 m3 produit, ~4,8 Mm3 importés et ~6,9 Mm3 exportés.</x:v>
      </x:c>
      <x:c r="F2" s="13" t="str">
        <x:v>Ne pas utiliser aveuglément les volumes/ratios SISPEA Robert-Trinité. Référer au RAD Ex-SICSM et au RPQS CAP Nord.</x:v>
      </x:c>
      <x:c r="G2" s="13" t="str">
        <x:v>https://www.ecologie.gouv.fr/sites/default/files/documents/Plan_Eau_DOM_Rapport_activite_2023_web.pdf</x:v>
      </x:c>
    </x:row>
    <x:row r="3">
      <x:c r="A3" s="13" t="n">
        <x:v>2024</x:v>
      </x:c>
      <x:c r="B3" s="13" t="str">
        <x:v>EAU POTABLE CAP NORD</x:v>
      </x:c>
      <x:c r="C3" s="13" t="str">
        <x:v>SERVICE_MEMBERSHIP_INCONSISTENCY</x:v>
      </x:c>
      <x:c r="D3" s="13" t="str">
        <x:v>HIGH</x:v>
      </x:c>
      <x:c r="E3" s="13" t="str">
        <x:v>SISPEA affiche 17 communes pour le service CAP Nord, inclut La Trinité et omet Le Robert, alors que le RAD CAP Nord montre des secteurs Robert CN et Trinité CN et qu'un second service SISPEA couvre Robert + Trinité.</x:v>
      </x:c>
      <x:c r="F3" s="13" t="str">
        <x:v>Le référentiel communal SISPEA n'est pas suffisamment précis pour représenter le découpage infra-communal des contrats.</x:v>
      </x:c>
      <x:c r="G3" s="13" t="str">
        <x:v>https://www.services.eaufrance.fr/service/299714/2024</x:v>
      </x:c>
    </x:row>
    <x:row r="4">
      <x:c r="A4" s="13" t="n">
        <x:v>2024</x:v>
      </x:c>
      <x:c r="B4" s="13" t="str">
        <x:v>Collectivité CAP Nord</x:v>
      </x:c>
      <x:c r="C4" s="13" t="str">
        <x:v>DUPLICATED_COMMUNE_IN_REFERENTIAL</x:v>
      </x:c>
      <x:c r="D4" s="13" t="str">
        <x:v>HIGH</x:v>
      </x:c>
      <x:c r="E4" s="13" t="str">
        <x:v>La fiche collectivité SISPEA affiche 19 adhérents et La Trinité apparaît deux fois, alors que BANATIC confirme 18 communes.</x:v>
      </x:c>
      <x:c r="F4" s="13" t="str">
        <x:v>Utiliser BANATIC pour le périmètre administratif et le RAD/RPQS pour les périmètres de service.</x:v>
      </x:c>
      <x:c r="G4" s="13" t="str">
        <x:v>https://www.services.eaufrance.fr/collectivite/236434/2024</x:v>
      </x:c>
    </x:row>
    <x:row r="5">
      <x:c r="A5" s="13" t="n">
        <x:v>2023</x:v>
      </x:c>
      <x:c r="B5" s="13" t="str">
        <x:v>P104.3 Robert-Trinité</x:v>
      </x:c>
      <x:c r="C5" s="13" t="str">
        <x:v>INDICATOR_SCOPE_AMBIGUOUS</x:v>
      </x:c>
      <x:c r="D5" s="13" t="str">
        <x:v>HIGH</x:v>
      </x:c>
      <x:c r="E5" s="13" t="str">
        <x:v>Le RPQS 2023 attribue 80,63 % à Robert-Trinité/ex-SICSM, alors que le RAD Ex-SICSM indique que le rendement et l'ILP ne sont calculables qu'au périmètre entier Ex-SICSM.</x:v>
      </x:c>
      <x:c r="F5" s="13" t="str">
        <x:v>Conserver la valeur comme DIAGNOSTIC/AUDIT, pas comme mesure territoriale autonome Robert-Trinité.</x:v>
      </x:c>
      <x:c r="G5" s="13" t="str">
        <x:v>https://www.services.eaufrance.fr/sispea/referential/download-rpqs.action?collectivityId=236434&amp;rpqsId=831713</x:v>
      </x:c>
    </x:row>
    <x:row r="6">
      <x:c r="A6" s="13" t="n">
        <x:v>2024</x:v>
      </x:c>
      <x:c r="B6" s="13" t="str">
        <x:v>P104.3 Robert-Trinité</x:v>
      </x:c>
      <x:c r="C6" s="13" t="str">
        <x:v>SOURCE_CALCULATION_ERROR_OR_REVISION</x:v>
      </x:c>
      <x:c r="D6" s="13" t="str">
        <x:v>CRITICAL</x:v>
      </x:c>
      <x:c r="E6" s="13" t="str">
        <x:v>Un RPQS 2024 publié affiche 41,3 %, tandis qu'un document CAP Nord ultérieur affiche 81 % et le RAD Ex-SICSM donne 80,4 % (P104.3 contrat) / 81,0 % (rendement technique).</x:v>
      </x:c>
      <x:c r="F6" s="13" t="str">
        <x:v>Écarter 41,3 % de la production, conserver en audit et retenir que le périmètre/méthode doit être tracé.</x:v>
      </x:c>
      <x:c r="G6" s="13" t="str">
        <x:v>https://www.services.eaufrance.fr/sispea/referential/download-rpqs.action?collectivityId=236434&amp;rpqsId=1022913</x:v>
      </x:c>
    </x:row>
  </x:sheetData>
  <x:conditionalFormatting sqref="D2:D6">
    <x:cfRule type="expression" dxfId="9" priority="1">
      <x:formula>D2="CRITICAL"</x:formula>
    </x:cfRule>
    <x:cfRule type="expression" dxfId="10" priority="2">
      <x:formula>D2="HIGH"</x:formula>
    </x:cfRule>
  </x:conditionalFormatting>
  <x:pageMargins left="0.7" right="0.7" top="0.75" bottom="0.75" header="0.3" footer="0.3"/>
  <x:tableParts count="1">
    <x:tablePart xmlns:r="http://schemas.openxmlformats.org/officeDocument/2006/relationships" r:id="R51963553c69c4801"/>
  </x:tableParts>
</x:worksheet>
</file>

<file path=xl/worksheets/sheet8.xml><?xml version="1.0" encoding="utf-8"?>
<x:worksheet xmlns:x="http://schemas.openxmlformats.org/spreadsheetml/2006/main">
  <x:sheetFormatPr defaultRowHeight="15"/>
  <x:cols>
    <x:col min="1" max="1" width="10" hidden="0" customWidth="1"/>
    <x:col min="2" max="2" width="18" hidden="0" customWidth="1"/>
    <x:col min="3" max="3" width="30" hidden="0" customWidth="1"/>
    <x:col min="4" max="4" width="28" hidden="0" customWidth="1"/>
    <x:col min="5" max="5" width="12" hidden="0" customWidth="1"/>
    <x:col min="6" max="6" width="70" hidden="0" customWidth="1"/>
  </x:cols>
  <x:sheetData>
    <x:row r="1">
      <x:c r="A1" s="34" t="str">
        <x:v>Année</x:v>
      </x:c>
      <x:c r="B1" s="34" t="str">
        <x:v>Territoire</x:v>
      </x:c>
      <x:c r="C1" s="34" t="str">
        <x:v>Domaine</x:v>
      </x:c>
      <x:c r="D1" s="34" t="str">
        <x:v>Statut</x:v>
      </x:c>
      <x:c r="E1" s="34" t="str">
        <x:v>Nb faits</x:v>
      </x:c>
      <x:c r="F1" s="34" t="str">
        <x:v>Note</x:v>
      </x:c>
    </x:row>
    <x:row r="2">
      <x:c r="A2" s="13" t="n">
        <x:v>2023</x:v>
      </x:c>
      <x:c r="B2" s="13" t="str">
        <x:v>CACEM</x:v>
      </x:c>
      <x:c r="C2" s="13" t="str">
        <x:v>EAU_POTABLE</x:v>
      </x:c>
      <x:c r="D2" s="13" t="str">
        <x:v>COUVERT</x:v>
      </x:c>
      <x:c r="E2" s="13" t="n">
        <x:v>7</x:v>
      </x:c>
      <x:c r="F2" s="13" t="str"/>
    </x:row>
    <x:row r="3">
      <x:c r="A3" s="13" t="n">
        <x:v>2023</x:v>
      </x:c>
      <x:c r="B3" s="13" t="str">
        <x:v>CACEM</x:v>
      </x:c>
      <x:c r="C3" s="13" t="str">
        <x:v>ASSAINISSEMENT_COLLECTIF</x:v>
      </x:c>
      <x:c r="D3" s="13" t="str">
        <x:v>COUVERT</x:v>
      </x:c>
      <x:c r="E3" s="13" t="n">
        <x:v>4</x:v>
      </x:c>
      <x:c r="F3" s="13" t="str"/>
    </x:row>
    <x:row r="4">
      <x:c r="A4" s="13" t="n">
        <x:v>2023</x:v>
      </x:c>
      <x:c r="B4" s="13" t="str">
        <x:v>CACEM</x:v>
      </x:c>
      <x:c r="C4" s="13" t="str">
        <x:v>ANC</x:v>
      </x:c>
      <x:c r="D4" s="13" t="str">
        <x:v>COUVERT</x:v>
      </x:c>
      <x:c r="E4" s="13" t="n">
        <x:v>7</x:v>
      </x:c>
      <x:c r="F4" s="13" t="str"/>
    </x:row>
    <x:row r="5">
      <x:c r="A5" s="13" t="n">
        <x:v>2023</x:v>
      </x:c>
      <x:c r="B5" s="13" t="str">
        <x:v>CAESM</x:v>
      </x:c>
      <x:c r="C5" s="13" t="str">
        <x:v>EAU_POTABLE</x:v>
      </x:c>
      <x:c r="D5" s="13" t="str">
        <x:v>COUVERT</x:v>
      </x:c>
      <x:c r="E5" s="13" t="n">
        <x:v>5</x:v>
      </x:c>
      <x:c r="F5" s="13" t="str"/>
    </x:row>
    <x:row r="6">
      <x:c r="A6" s="13" t="n">
        <x:v>2023</x:v>
      </x:c>
      <x:c r="B6" s="13" t="str">
        <x:v>CAESM</x:v>
      </x:c>
      <x:c r="C6" s="13" t="str">
        <x:v>ASSAINISSEMENT_COLLECTIF</x:v>
      </x:c>
      <x:c r="D6" s="13" t="str">
        <x:v>COUVERT</x:v>
      </x:c>
      <x:c r="E6" s="13" t="n">
        <x:v>6</x:v>
      </x:c>
      <x:c r="F6" s="13" t="str"/>
    </x:row>
    <x:row r="7">
      <x:c r="A7" s="13" t="n">
        <x:v>2023</x:v>
      </x:c>
      <x:c r="B7" s="13" t="str">
        <x:v>CAESM</x:v>
      </x:c>
      <x:c r="C7" s="13" t="str">
        <x:v>ANC</x:v>
      </x:c>
      <x:c r="D7" s="13" t="str">
        <x:v>COUVERT</x:v>
      </x:c>
      <x:c r="E7" s="13" t="n">
        <x:v>7</x:v>
      </x:c>
      <x:c r="F7" s="13" t="str"/>
    </x:row>
    <x:row r="8">
      <x:c r="A8" s="13" t="n">
        <x:v>2023</x:v>
      </x:c>
      <x:c r="B8" s="13" t="str">
        <x:v>CAP_NORD</x:v>
      </x:c>
      <x:c r="C8" s="13" t="str">
        <x:v>EAU_POTABLE</x:v>
      </x:c>
      <x:c r="D8" s="13" t="str">
        <x:v>COUVERT</x:v>
      </x:c>
      <x:c r="E8" s="13" t="n">
        <x:v>2</x:v>
      </x:c>
      <x:c r="F8" s="13" t="str"/>
    </x:row>
    <x:row r="9">
      <x:c r="A9" s="13" t="n">
        <x:v>2023</x:v>
      </x:c>
      <x:c r="B9" s="13" t="str">
        <x:v>CAP_NORD</x:v>
      </x:c>
      <x:c r="C9" s="13" t="str">
        <x:v>ASSAINISSEMENT_COLLECTIF</x:v>
      </x:c>
      <x:c r="D9" s="13" t="str">
        <x:v>COUVERT</x:v>
      </x:c>
      <x:c r="E9" s="13" t="n">
        <x:v>5</x:v>
      </x:c>
      <x:c r="F9" s="13" t="str"/>
    </x:row>
    <x:row r="10">
      <x:c r="A10" s="13" t="n">
        <x:v>2023</x:v>
      </x:c>
      <x:c r="B10" s="13" t="str">
        <x:v>CAP_NORD</x:v>
      </x:c>
      <x:c r="C10" s="13" t="str">
        <x:v>ANC</x:v>
      </x:c>
      <x:c r="D10" s="13" t="str">
        <x:v>COUVERT</x:v>
      </x:c>
      <x:c r="E10" s="13" t="n">
        <x:v>3</x:v>
      </x:c>
      <x:c r="F10" s="13" t="str"/>
    </x:row>
    <x:row r="11">
      <x:c r="A11" s="13" t="n">
        <x:v>2024</x:v>
      </x:c>
      <x:c r="B11" s="13" t="str">
        <x:v>CACEM</x:v>
      </x:c>
      <x:c r="C11" s="13" t="str">
        <x:v>EAU_POTABLE</x:v>
      </x:c>
      <x:c r="D11" s="13" t="str">
        <x:v>NON_PRODUIT_DECLARE</x:v>
      </x:c>
      <x:c r="E11" s="13" t="n">
        <x:v>0</x:v>
      </x:c>
      <x:c r="F11" s="13" t="str">
        <x:v>Aucun bilan/RAD 2024 produit selon information ODE fournie le 24/09/2026.</x:v>
      </x:c>
    </x:row>
    <x:row r="12">
      <x:c r="A12" s="13" t="n">
        <x:v>2024</x:v>
      </x:c>
      <x:c r="B12" s="13" t="str">
        <x:v>CACEM</x:v>
      </x:c>
      <x:c r="C12" s="13" t="str">
        <x:v>ASSAINISSEMENT_COLLECTIF</x:v>
      </x:c>
      <x:c r="D12" s="13" t="str">
        <x:v>NON_PRODUIT_DECLARE</x:v>
      </x:c>
      <x:c r="E12" s="13" t="n">
        <x:v>0</x:v>
      </x:c>
      <x:c r="F12" s="13" t="str">
        <x:v>Aucun bilan/RAD 2024 produit selon information ODE fournie le 24/09/2026.</x:v>
      </x:c>
    </x:row>
    <x:row r="13">
      <x:c r="A13" s="13" t="n">
        <x:v>2024</x:v>
      </x:c>
      <x:c r="B13" s="13" t="str">
        <x:v>CACEM</x:v>
      </x:c>
      <x:c r="C13" s="13" t="str">
        <x:v>ANC</x:v>
      </x:c>
      <x:c r="D13" s="13" t="str">
        <x:v>NON_PRODUIT_DECLARE</x:v>
      </x:c>
      <x:c r="E13" s="13" t="n">
        <x:v>0</x:v>
      </x:c>
      <x:c r="F13" s="13" t="str">
        <x:v>Aucun bilan/RAD 2024 produit selon information ODE fournie le 24/09/2026.</x:v>
      </x:c>
    </x:row>
    <x:row r="14">
      <x:c r="A14" s="13" t="n">
        <x:v>2024</x:v>
      </x:c>
      <x:c r="B14" s="13" t="str">
        <x:v>CAESM</x:v>
      </x:c>
      <x:c r="C14" s="13" t="str">
        <x:v>EAU_POTABLE</x:v>
      </x:c>
      <x:c r="D14" s="13" t="str">
        <x:v>COUVERT</x:v>
      </x:c>
      <x:c r="E14" s="13" t="n">
        <x:v>5</x:v>
      </x:c>
      <x:c r="F14" s="13" t="str"/>
    </x:row>
    <x:row r="15">
      <x:c r="A15" s="13" t="n">
        <x:v>2024</x:v>
      </x:c>
      <x:c r="B15" s="13" t="str">
        <x:v>CAESM</x:v>
      </x:c>
      <x:c r="C15" s="13" t="str">
        <x:v>ASSAINISSEMENT_COLLECTIF</x:v>
      </x:c>
      <x:c r="D15" s="13" t="str">
        <x:v>COUVERT</x:v>
      </x:c>
      <x:c r="E15" s="13" t="n">
        <x:v>6</x:v>
      </x:c>
      <x:c r="F15" s="13" t="str"/>
    </x:row>
    <x:row r="16">
      <x:c r="A16" s="13" t="n">
        <x:v>2024</x:v>
      </x:c>
      <x:c r="B16" s="13" t="str">
        <x:v>CAESM</x:v>
      </x:c>
      <x:c r="C16" s="13" t="str">
        <x:v>ANC</x:v>
      </x:c>
      <x:c r="D16" s="13" t="str">
        <x:v>NON_PRODUIT_DECLARE</x:v>
      </x:c>
      <x:c r="E16" s="13" t="n">
        <x:v>0</x:v>
      </x:c>
      <x:c r="F16" s="13" t="str">
        <x:v>Aucun RPQS ANC 2024 produit selon information ODE fournie le 24/09/2026.</x:v>
      </x:c>
    </x:row>
    <x:row r="17">
      <x:c r="A17" s="13" t="n">
        <x:v>2024</x:v>
      </x:c>
      <x:c r="B17" s="13" t="str">
        <x:v>CAP_NORD</x:v>
      </x:c>
      <x:c r="C17" s="13" t="str">
        <x:v>EAU_POTABLE</x:v>
      </x:c>
      <x:c r="D17" s="13" t="str">
        <x:v>COUVERT</x:v>
      </x:c>
      <x:c r="E17" s="13" t="n">
        <x:v>2</x:v>
      </x:c>
      <x:c r="F17" s="13" t="str"/>
    </x:row>
    <x:row r="18">
      <x:c r="A18" s="13" t="n">
        <x:v>2024</x:v>
      </x:c>
      <x:c r="B18" s="13" t="str">
        <x:v>CAP_NORD</x:v>
      </x:c>
      <x:c r="C18" s="13" t="str">
        <x:v>ASSAINISSEMENT_COLLECTIF</x:v>
      </x:c>
      <x:c r="D18" s="13" t="str">
        <x:v>COUVERT</x:v>
      </x:c>
      <x:c r="E18" s="13" t="n">
        <x:v>5</x:v>
      </x:c>
      <x:c r="F18" s="13" t="str"/>
    </x:row>
    <x:row r="19">
      <x:c r="A19" s="13" t="n">
        <x:v>2024</x:v>
      </x:c>
      <x:c r="B19" s="13" t="str">
        <x:v>CAP_NORD</x:v>
      </x:c>
      <x:c r="C19" s="13" t="str">
        <x:v>ANC</x:v>
      </x:c>
      <x:c r="D19" s="13" t="str">
        <x:v>COUVERT</x:v>
      </x:c>
      <x:c r="E19" s="13" t="n">
        <x:v>3</x:v>
      </x:c>
      <x:c r="F19" s="13" t="str"/>
    </x:row>
  </x:sheetData>
  <x:conditionalFormatting sqref="D2:D19">
    <x:cfRule type="expression" dxfId="11" priority="1">
      <x:formula>D2="COUVERT"</x:formula>
    </x:cfRule>
    <x:cfRule type="expression" dxfId="12" priority="2">
      <x:formula>ISNUMBER(SEARCH("NON_PRODUIT",D2))</x:formula>
    </x:cfRule>
    <x:cfRule type="expression" dxfId="13" priority="3">
      <x:formula>D2="MANQUANT"</x:formula>
    </x:cfRule>
  </x:conditionalFormatting>
  <x:pageMargins left="0.7" right="0.7" top="0.75" bottom="0.75" header="0.3" footer="0.3"/>
  <x:tableParts count="1">
    <x:tablePart xmlns:r="http://schemas.openxmlformats.org/officeDocument/2006/relationships" r:id="Rcccaa4d4921246f9"/>
  </x:tableParts>
</x:worksheet>
</file>

<file path=xl/worksheets/sheet9.xml><?xml version="1.0" encoding="utf-8"?>
<x:worksheet xmlns:x="http://schemas.openxmlformats.org/spreadsheetml/2006/main">
  <x:sheetFormatPr defaultRowHeight="15"/>
  <x:cols>
    <x:col min="1" max="1" width="10" hidden="0" customWidth="1"/>
    <x:col min="2" max="2" width="34" hidden="0" customWidth="1"/>
    <x:col min="3" max="3" width="16" hidden="0" customWidth="1"/>
    <x:col min="4" max="4" width="16" hidden="0" customWidth="1"/>
    <x:col min="5" max="5" width="12" hidden="0" customWidth="1"/>
    <x:col min="6" max="6" width="12" hidden="0" customWidth="1"/>
    <x:col min="7" max="7" width="60" hidden="0" customWidth="1"/>
  </x:cols>
  <x:sheetData>
    <x:row r="1">
      <x:c r="A1" s="34" t="str">
        <x:v>Année</x:v>
      </x:c>
      <x:c r="B1" s="34" t="str">
        <x:v>Contrôle</x:v>
      </x:c>
      <x:c r="C1" s="34" t="str">
        <x:v>Calculé</x:v>
      </x:c>
      <x:c r="D1" s="34" t="str">
        <x:v>Référence</x:v>
      </x:c>
      <x:c r="E1" s="34" t="str">
        <x:v>Écart</x:v>
      </x:c>
      <x:c r="F1" s="34" t="str">
        <x:v>Statut</x:v>
      </x:c>
      <x:c r="G1" s="34" t="str">
        <x:v>Message</x:v>
      </x:c>
    </x:row>
    <x:row r="2">
      <x:c r="A2" s="13" t="n">
        <x:v>2023</x:v>
      </x:c>
      <x:c r="B2" s="13" t="str">
        <x:v>CAPNORD_SUBSCRIBER_PARTITION</x:v>
      </x:c>
      <x:c r="C2" s="36" t="n">
        <x:v>52638</x:v>
      </x:c>
      <x:c r="D2" s="36" t="n">
        <x:v>52638</x:v>
      </x:c>
      <x:c r="E2" s="36" t="n">
        <x:v>0</x:v>
      </x:c>
      <x:c r="F2" s="13" t="str">
        <x:v>OK</x:v>
      </x:c>
      <x:c r="G2" s="13" t="str">
        <x:v>CAP Nord contract + Robert-Trinité Ex-SICSM = total EPCI.</x:v>
      </x:c>
    </x:row>
    <x:row r="3">
      <x:c r="A3" s="13" t="n">
        <x:v>2024</x:v>
      </x:c>
      <x:c r="B3" s="13" t="str">
        <x:v>CAPNORD_SUBSCRIBER_PARTITION</x:v>
      </x:c>
      <x:c r="C3" s="36" t="n">
        <x:v>51746</x:v>
      </x:c>
      <x:c r="D3" s="36" t="n">
        <x:v>51746</x:v>
      </x:c>
      <x:c r="E3" s="36" t="n">
        <x:v>0</x:v>
      </x:c>
      <x:c r="F3" s="13" t="str">
        <x:v>OK</x:v>
      </x:c>
      <x:c r="G3" s="13" t="str">
        <x:v>CAP Nord contract + Robert-Trinité Ex-SICSM = total EPCI.</x:v>
      </x:c>
    </x:row>
  </x:sheetData>
  <x:conditionalFormatting sqref="F2:F3">
    <x:cfRule type="expression" dxfId="14" priority="1">
      <x:formula>F2="OK"</x:formula>
    </x:cfRule>
  </x:conditionalFormatting>
  <x:pageMargins left="0.7" right="0.7" top="0.75" bottom="0.75" header="0.3" footer="0.3"/>
  <x:tableParts count="1">
    <x:tablePart xmlns:r="http://schemas.openxmlformats.org/officeDocument/2006/relationships" r:id="R73e1494b83664443"/>
  </x:tableParts>
</x:worksheet>
</file>

<file path=xl/worksheets/sheet10.xml><?xml version="1.0" encoding="utf-8"?>
<x:worksheet xmlns:x="http://schemas.openxmlformats.org/spreadsheetml/2006/main">
  <x:sheetFormatPr defaultRowHeight="15"/>
  <x:cols>
    <x:col min="1" max="1" width="10" hidden="0" customWidth="1"/>
    <x:col min="2" max="2" width="28" hidden="0" customWidth="1"/>
    <x:col min="3" max="3" width="28" hidden="0" customWidth="1"/>
    <x:col min="4" max="4" width="20" hidden="0" customWidth="1"/>
    <x:col min="5" max="5" width="30" hidden="0" customWidth="1"/>
    <x:col min="6" max="6" width="16" hidden="0" customWidth="1"/>
    <x:col min="7" max="7" width="14" hidden="0" customWidth="1"/>
    <x:col min="8" max="8" width="18" hidden="0" customWidth="1"/>
    <x:col min="9" max="9" width="30" hidden="0" customWidth="1"/>
    <x:col min="10" max="10" width="16" hidden="0" customWidth="1"/>
    <x:col min="11" max="11" width="24" hidden="0" customWidth="1"/>
    <x:col min="12" max="12" width="65" hidden="0" customWidth="1"/>
  </x:cols>
  <x:sheetData>
    <x:row r="1">
      <x:c r="A1" s="34" t="str">
        <x:v>Année</x:v>
      </x:c>
      <x:c r="B1" s="34" t="str">
        <x:v>Indicateur</x:v>
      </x:c>
      <x:c r="C1" s="34" t="str">
        <x:v>Domaine</x:v>
      </x:c>
      <x:c r="D1" s="34" t="str">
        <x:v>Territoire</x:v>
      </x:c>
      <x:c r="E1" s="34" t="str">
        <x:v>Périmètre</x:v>
      </x:c>
      <x:c r="F1" s="34" t="str">
        <x:v>Valeur</x:v>
      </x:c>
      <x:c r="G1" s="34" t="str">
        <x:v>Unité</x:v>
      </x:c>
      <x:c r="H1" s="34" t="str">
        <x:v>Source</x:v>
      </x:c>
      <x:c r="I1" s="34" t="str">
        <x:v>Qualité</x:v>
      </x:c>
      <x:c r="J1" s="34" t="str">
        <x:v>Rôle</x:v>
      </x:c>
      <x:c r="K1" s="34" t="str">
        <x:v>Couverture</x:v>
      </x:c>
      <x:c r="L1" s="34" t="str">
        <x:v>Note</x:v>
      </x:c>
    </x:row>
    <x:row r="2">
      <x:c r="A2" s="13" t="n">
        <x:v>2023</x:v>
      </x:c>
      <x:c r="B2" s="13" t="str">
        <x:v>POP_MUNICIPALE</x:v>
      </x:c>
      <x:c r="C2" s="13" t="str">
        <x:v>DEMOGRAPHIE</x:v>
      </x:c>
      <x:c r="D2" s="13" t="str">
        <x:v>Martinique</x:v>
      </x:c>
      <x:c r="E2" s="13" t="str">
        <x:v>Martinique</x:v>
      </x:c>
      <x:c r="F2" s="13" t="n">
        <x:v>360630</x:v>
      </x:c>
      <x:c r="G2" s="13" t="str">
        <x:v>habitants</x:v>
      </x:c>
      <x:c r="H2" s="13" t="str">
        <x:v>INSEE</x:v>
      </x:c>
      <x:c r="I2" s="13" t="str">
        <x:v>OK</x:v>
      </x:c>
      <x:c r="J2" s="13" t="str">
        <x:v>PRODUCTION</x:v>
      </x:c>
      <x:c r="K2" s="13" t="str">
        <x:v>COMPLETE</x:v>
      </x:c>
      <x:c r="L2" s="13" t="str"/>
    </x:row>
    <x:row r="3">
      <x:c r="A3" s="13" t="n">
        <x:v>2023</x:v>
      </x:c>
      <x:c r="B3" s="13" t="str">
        <x:v>POP_MUNICIPALE</x:v>
      </x:c>
      <x:c r="C3" s="13" t="str">
        <x:v>DEMOGRAPHIE</x:v>
      </x:c>
      <x:c r="D3" s="13" t="str">
        <x:v>CACEM</x:v>
      </x:c>
      <x:c r="E3" s="13" t="str">
        <x:v>CACEM</x:v>
      </x:c>
      <x:c r="F3" s="13" t="n">
        <x:v>150642</x:v>
      </x:c>
      <x:c r="G3" s="13" t="str">
        <x:v>habitants</x:v>
      </x:c>
      <x:c r="H3" s="13" t="str">
        <x:v>INSEE</x:v>
      </x:c>
      <x:c r="I3" s="13" t="str">
        <x:v>OK</x:v>
      </x:c>
      <x:c r="J3" s="13" t="str">
        <x:v>PRODUCTION</x:v>
      </x:c>
      <x:c r="K3" s="13" t="str">
        <x:v>COMPLETE</x:v>
      </x:c>
      <x:c r="L3" s="13" t="str"/>
    </x:row>
    <x:row r="4">
      <x:c r="A4" s="13" t="n">
        <x:v>2023</x:v>
      </x:c>
      <x:c r="B4" s="13" t="str">
        <x:v>POP_MUNICIPALE</x:v>
      </x:c>
      <x:c r="C4" s="13" t="str">
        <x:v>DEMOGRAPHIE</x:v>
      </x:c>
      <x:c r="D4" s="13" t="str">
        <x:v>CAESM</x:v>
      </x:c>
      <x:c r="E4" s="13" t="str">
        <x:v>CAESM</x:v>
      </x:c>
      <x:c r="F4" s="13" t="n">
        <x:v>114903</x:v>
      </x:c>
      <x:c r="G4" s="13" t="str">
        <x:v>habitants</x:v>
      </x:c>
      <x:c r="H4" s="13" t="str">
        <x:v>INSEE</x:v>
      </x:c>
      <x:c r="I4" s="13" t="str">
        <x:v>OK</x:v>
      </x:c>
      <x:c r="J4" s="13" t="str">
        <x:v>PRODUCTION</x:v>
      </x:c>
      <x:c r="K4" s="13" t="str">
        <x:v>COMPLETE</x:v>
      </x:c>
      <x:c r="L4" s="13" t="str"/>
    </x:row>
    <x:row r="5">
      <x:c r="A5" s="13" t="n">
        <x:v>2023</x:v>
      </x:c>
      <x:c r="B5" s="13" t="str">
        <x:v>POP_MUNICIPALE</x:v>
      </x:c>
      <x:c r="C5" s="13" t="str">
        <x:v>DEMOGRAPHIE</x:v>
      </x:c>
      <x:c r="D5" s="13" t="str">
        <x:v>CAP_NORD</x:v>
      </x:c>
      <x:c r="E5" s="13" t="str">
        <x:v>CAP_NORD</x:v>
      </x:c>
      <x:c r="F5" s="13" t="n">
        <x:v>95085</x:v>
      </x:c>
      <x:c r="G5" s="13" t="str">
        <x:v>habitants</x:v>
      </x:c>
      <x:c r="H5" s="13" t="str">
        <x:v>INSEE</x:v>
      </x:c>
      <x:c r="I5" s="13" t="str">
        <x:v>OK</x:v>
      </x:c>
      <x:c r="J5" s="13" t="str">
        <x:v>PRODUCTION</x:v>
      </x:c>
      <x:c r="K5" s="13" t="str">
        <x:v>COMPLETE</x:v>
      </x:c>
      <x:c r="L5" s="13" t="str"/>
    </x:row>
    <x:row r="6">
      <x:c r="A6" s="13" t="n">
        <x:v>2023</x:v>
      </x:c>
      <x:c r="B6" s="13" t="str">
        <x:v>EP_ABONNES</x:v>
      </x:c>
      <x:c r="C6" s="13" t="str">
        <x:v>EAU_POTABLE</x:v>
      </x:c>
      <x:c r="D6" s="13" t="str">
        <x:v>CACEM</x:v>
      </x:c>
      <x:c r="E6" s="13" t="str">
        <x:v>CACEM_EPCI</x:v>
      </x:c>
      <x:c r="F6" s="13" t="n">
        <x:v>77158</x:v>
      </x:c>
      <x:c r="G6" s="13" t="str">
        <x:v>abonnés</x:v>
      </x:c>
      <x:c r="H6" s="13" t="str">
        <x:v>RAD_RPQS</x:v>
      </x:c>
      <x:c r="I6" s="13" t="str">
        <x:v>OK</x:v>
      </x:c>
      <x:c r="J6" s="13" t="str">
        <x:v>PRODUCTION</x:v>
      </x:c>
      <x:c r="K6" s="13" t="str">
        <x:v>COMPLETE</x:v>
      </x:c>
      <x:c r="L6" s="13" t="str"/>
    </x:row>
    <x:row r="7">
      <x:c r="A7" s="13" t="n">
        <x:v>2023</x:v>
      </x:c>
      <x:c r="B7" s="13" t="str">
        <x:v>EP_VOLUME_FACTURE</x:v>
      </x:c>
      <x:c r="C7" s="13" t="str">
        <x:v>EAU_POTABLE</x:v>
      </x:c>
      <x:c r="D7" s="13" t="str">
        <x:v>CACEM</x:v>
      </x:c>
      <x:c r="E7" s="13" t="str">
        <x:v>CACEM_EPCI</x:v>
      </x:c>
      <x:c r="F7" s="13" t="n">
        <x:v>10947922</x:v>
      </x:c>
      <x:c r="G7" s="13" t="str">
        <x:v>m³/an</x:v>
      </x:c>
      <x:c r="H7" s="13" t="str">
        <x:v>RAD_RPQS</x:v>
      </x:c>
      <x:c r="I7" s="13" t="str">
        <x:v>OK</x:v>
      </x:c>
      <x:c r="J7" s="13" t="str">
        <x:v>PRODUCTION</x:v>
      </x:c>
      <x:c r="K7" s="13" t="str">
        <x:v>COMPLETE</x:v>
      </x:c>
      <x:c r="L7" s="13" t="str"/>
    </x:row>
    <x:row r="8">
      <x:c r="A8" s="13" t="n">
        <x:v>2023</x:v>
      </x:c>
      <x:c r="B8" s="13" t="str">
        <x:v>EP_VOLUME_PRODUIT</x:v>
      </x:c>
      <x:c r="C8" s="13" t="str">
        <x:v>EAU_POTABLE</x:v>
      </x:c>
      <x:c r="D8" s="13" t="str">
        <x:v>CACEM</x:v>
      </x:c>
      <x:c r="E8" s="13" t="str">
        <x:v>CACEM_EPCI</x:v>
      </x:c>
      <x:c r="F8" s="13" t="n">
        <x:v>15103494</x:v>
      </x:c>
      <x:c r="G8" s="13" t="str">
        <x:v>m³/an</x:v>
      </x:c>
      <x:c r="H8" s="13" t="str">
        <x:v>RAD_RPQS</x:v>
      </x:c>
      <x:c r="I8" s="13" t="str">
        <x:v>OK</x:v>
      </x:c>
      <x:c r="J8" s="13" t="str">
        <x:v>PRODUCTION</x:v>
      </x:c>
      <x:c r="K8" s="13" t="str">
        <x:v>COMPLETE</x:v>
      </x:c>
      <x:c r="L8" s="13" t="str"/>
    </x:row>
    <x:row r="9">
      <x:c r="A9" s="13" t="n">
        <x:v>2023</x:v>
      </x:c>
      <x:c r="B9" s="13" t="str">
        <x:v>EP_VOLUME_PRELEVE_LOCAL</x:v>
      </x:c>
      <x:c r="C9" s="13" t="str">
        <x:v>EAU_POTABLE</x:v>
      </x:c>
      <x:c r="D9" s="13" t="str">
        <x:v>CACEM</x:v>
      </x:c>
      <x:c r="E9" s="13" t="str">
        <x:v>CACEM_EPCI</x:v>
      </x:c>
      <x:c r="F9" s="13" t="n">
        <x:v>15400582</x:v>
      </x:c>
      <x:c r="G9" s="13" t="str">
        <x:v>m³/an</x:v>
      </x:c>
      <x:c r="H9" s="13" t="str">
        <x:v>RAD_RPQS</x:v>
      </x:c>
      <x:c r="I9" s="13" t="str">
        <x:v>OK</x:v>
      </x:c>
      <x:c r="J9" s="13" t="str">
        <x:v>DIAGNOSTIC</x:v>
      </x:c>
      <x:c r="K9" s="13" t="str">
        <x:v>COMPLETE</x:v>
      </x:c>
      <x:c r="L9" s="13" t="str">
        <x:v>BNPE reste source primaire des prélèvements.</x:v>
      </x:c>
    </x:row>
    <x:row r="10">
      <x:c r="A10" s="13" t="n">
        <x:v>2023</x:v>
      </x:c>
      <x:c r="B10" s="13" t="str">
        <x:v>P104.3</x:v>
      </x:c>
      <x:c r="C10" s="13" t="str">
        <x:v>EAU_POTABLE</x:v>
      </x:c>
      <x:c r="D10" s="13" t="str">
        <x:v>CACEM</x:v>
      </x:c>
      <x:c r="E10" s="13" t="str">
        <x:v>CACEM_EPCI</x:v>
      </x:c>
      <x:c r="F10" s="13" t="n">
        <x:v>63.21</x:v>
      </x:c>
      <x:c r="G10" s="13" t="str">
        <x:v>%</x:v>
      </x:c>
      <x:c r="H10" s="13" t="str">
        <x:v>RAD_RPQS</x:v>
      </x:c>
      <x:c r="I10" s="13" t="str">
        <x:v>OK</x:v>
      </x:c>
      <x:c r="J10" s="13" t="str">
        <x:v>PRODUCTION</x:v>
      </x:c>
      <x:c r="K10" s="13" t="str">
        <x:v>COMPLETE</x:v>
      </x:c>
      <x:c r="L10" s="13" t="str"/>
    </x:row>
    <x:row r="11">
      <x:c r="A11" s="13" t="n">
        <x:v>2023</x:v>
      </x:c>
      <x:c r="B11" s="13" t="str">
        <x:v>P106.3</x:v>
      </x:c>
      <x:c r="C11" s="13" t="str">
        <x:v>EAU_POTABLE</x:v>
      </x:c>
      <x:c r="D11" s="13" t="str">
        <x:v>CACEM</x:v>
      </x:c>
      <x:c r="E11" s="13" t="str">
        <x:v>CACEM_EPCI</x:v>
      </x:c>
      <x:c r="F11" s="13" t="n">
        <x:v>19.8</x:v>
      </x:c>
      <x:c r="G11" s="13" t="str">
        <x:v>m³/km/j</x:v>
      </x:c>
      <x:c r="H11" s="13" t="str">
        <x:v>RAD_RPQS</x:v>
      </x:c>
      <x:c r="I11" s="13" t="str">
        <x:v>OK</x:v>
      </x:c>
      <x:c r="J11" s="13" t="str">
        <x:v>PRODUCTION</x:v>
      </x:c>
      <x:c r="K11" s="13" t="str">
        <x:v>COMPLETE</x:v>
      </x:c>
      <x:c r="L11" s="13" t="str"/>
    </x:row>
    <x:row r="12">
      <x:c r="A12" s="13" t="n">
        <x:v>2023</x:v>
      </x:c>
      <x:c r="B12" s="13" t="str">
        <x:v>EP_RESEAU_KM</x:v>
      </x:c>
      <x:c r="C12" s="13" t="str">
        <x:v>EAU_POTABLE</x:v>
      </x:c>
      <x:c r="D12" s="13" t="str">
        <x:v>CACEM</x:v>
      </x:c>
      <x:c r="E12" s="13" t="str">
        <x:v>CACEM_EPCI</x:v>
      </x:c>
      <x:c r="F12" s="13" t="n">
        <x:v>1038</x:v>
      </x:c>
      <x:c r="G12" s="13" t="str">
        <x:v>km</x:v>
      </x:c>
      <x:c r="H12" s="13" t="str">
        <x:v>RAD_RPQS</x:v>
      </x:c>
      <x:c r="I12" s="13" t="str">
        <x:v>OK</x:v>
      </x:c>
      <x:c r="J12" s="13" t="str">
        <x:v>PRODUCTION</x:v>
      </x:c>
      <x:c r="K12" s="13" t="str">
        <x:v>COMPLETE</x:v>
      </x:c>
      <x:c r="L12" s="13" t="str"/>
    </x:row>
    <x:row r="13">
      <x:c r="A13" s="13" t="n">
        <x:v>2023</x:v>
      </x:c>
      <x:c r="B13" s="13" t="str">
        <x:v>AC_ABONNES</x:v>
      </x:c>
      <x:c r="C13" s="13" t="str">
        <x:v>ASSAINISSEMENT_COLLECTIF</x:v>
      </x:c>
      <x:c r="D13" s="13" t="str">
        <x:v>CACEM</x:v>
      </x:c>
      <x:c r="E13" s="13" t="str">
        <x:v>CACEM_EPCI</x:v>
      </x:c>
      <x:c r="F13" s="13" t="n">
        <x:v>40058</x:v>
      </x:c>
      <x:c r="G13" s="13" t="str">
        <x:v>abonnés</x:v>
      </x:c>
      <x:c r="H13" s="13" t="str">
        <x:v>RAD_RPQS</x:v>
      </x:c>
      <x:c r="I13" s="13" t="str">
        <x:v>OK</x:v>
      </x:c>
      <x:c r="J13" s="13" t="str">
        <x:v>PRODUCTION</x:v>
      </x:c>
      <x:c r="K13" s="13" t="str">
        <x:v>COMPLETE</x:v>
      </x:c>
      <x:c r="L13" s="13" t="str"/>
    </x:row>
    <x:row r="14">
      <x:c r="A14" s="13" t="n">
        <x:v>2023</x:v>
      </x:c>
      <x:c r="B14" s="13" t="str">
        <x:v>AC_RESEAU_KM</x:v>
      </x:c>
      <x:c r="C14" s="13" t="str">
        <x:v>ASSAINISSEMENT_COLLECTIF</x:v>
      </x:c>
      <x:c r="D14" s="13" t="str">
        <x:v>CACEM</x:v>
      </x:c>
      <x:c r="E14" s="13" t="str">
        <x:v>CACEM_EPCI</x:v>
      </x:c>
      <x:c r="F14" s="13" t="n">
        <x:v>384</x:v>
      </x:c>
      <x:c r="G14" s="13" t="str">
        <x:v>km</x:v>
      </x:c>
      <x:c r="H14" s="13" t="str">
        <x:v>RAD_RPQS</x:v>
      </x:c>
      <x:c r="I14" s="13" t="str">
        <x:v>OK</x:v>
      </x:c>
      <x:c r="J14" s="13" t="str">
        <x:v>PRODUCTION</x:v>
      </x:c>
      <x:c r="K14" s="13" t="str">
        <x:v>COMPLETE</x:v>
      </x:c>
      <x:c r="L14" s="13" t="str"/>
    </x:row>
    <x:row r="15">
      <x:c r="A15" s="13" t="n">
        <x:v>2023</x:v>
      </x:c>
      <x:c r="B15" s="13" t="str">
        <x:v>AC_BOUES_TMS</x:v>
      </x:c>
      <x:c r="C15" s="13" t="str">
        <x:v>ASSAINISSEMENT_COLLECTIF</x:v>
      </x:c>
      <x:c r="D15" s="13" t="str">
        <x:v>CACEM</x:v>
      </x:c>
      <x:c r="E15" s="13" t="str">
        <x:v>CACEM_EPCI</x:v>
      </x:c>
      <x:c r="F15" s="13" t="n">
        <x:v>1070.42</x:v>
      </x:c>
      <x:c r="G15" s="13" t="str">
        <x:v>tMS/an</x:v>
      </x:c>
      <x:c r="H15" s="13" t="str">
        <x:v>RAD_RPQS</x:v>
      </x:c>
      <x:c r="I15" s="13" t="str">
        <x:v>OK</x:v>
      </x:c>
      <x:c r="J15" s="13" t="str">
        <x:v>PRODUCTION</x:v>
      </x:c>
      <x:c r="K15" s="13" t="str">
        <x:v>COMPLETE</x:v>
      </x:c>
      <x:c r="L15" s="13" t="str"/>
    </x:row>
    <x:row r="16">
      <x:c r="A16" s="13" t="n">
        <x:v>2023</x:v>
      </x:c>
      <x:c r="B16" s="13" t="str">
        <x:v>AC_VOLUME_FACTURE</x:v>
      </x:c>
      <x:c r="C16" s="13" t="str">
        <x:v>ASSAINISSEMENT_COLLECTIF</x:v>
      </x:c>
      <x:c r="D16" s="13" t="str">
        <x:v>CACEM</x:v>
      </x:c>
      <x:c r="E16" s="13" t="str">
        <x:v>CACEM_EPCI</x:v>
      </x:c>
      <x:c r="F16" s="13" t="n">
        <x:v>4945906</x:v>
      </x:c>
      <x:c r="G16" s="13" t="str">
        <x:v>m³/an</x:v>
      </x:c>
      <x:c r="H16" s="13" t="str">
        <x:v>RAD_RPQS</x:v>
      </x:c>
      <x:c r="I16" s="13" t="str">
        <x:v>OK</x:v>
      </x:c>
      <x:c r="J16" s="13" t="str">
        <x:v>PRODUCTION</x:v>
      </x:c>
      <x:c r="K16" s="13" t="str">
        <x:v>COMPLETE</x:v>
      </x:c>
      <x:c r="L16" s="13" t="str"/>
    </x:row>
    <x:row r="17">
      <x:c r="A17" s="13" t="n">
        <x:v>2023</x:v>
      </x:c>
      <x:c r="B17" s="13" t="str">
        <x:v>D301.0_LOCAL</x:v>
      </x:c>
      <x:c r="C17" s="13" t="str">
        <x:v>ANC</x:v>
      </x:c>
      <x:c r="D17" s="13" t="str">
        <x:v>CACEM</x:v>
      </x:c>
      <x:c r="E17" s="13" t="str">
        <x:v>CACEM_EPCI</x:v>
      </x:c>
      <x:c r="F17" s="13" t="n">
        <x:v>61094</x:v>
      </x:c>
      <x:c r="G17" s="13" t="str">
        <x:v>habitants</x:v>
      </x:c>
      <x:c r="H17" s="13" t="str">
        <x:v>RAD_RPQS</x:v>
      </x:c>
      <x:c r="I17" s="13" t="str">
        <x:v>OK</x:v>
      </x:c>
      <x:c r="J17" s="13" t="str">
        <x:v>PRODUCTION</x:v>
      </x:c>
      <x:c r="K17" s="13" t="str">
        <x:v>COMPLETE</x:v>
      </x:c>
      <x:c r="L17" s="13" t="str">
        <x:v>Estimation locale des habitants non desservis par un réseau de collecte.</x:v>
      </x:c>
    </x:row>
    <x:row r="18">
      <x:c r="A18" s="13" t="n">
        <x:v>2023</x:v>
      </x:c>
      <x:c r="B18" s="13" t="str">
        <x:v>ANC_INSTALLATIONS_ESTIMEES</x:v>
      </x:c>
      <x:c r="C18" s="13" t="str">
        <x:v>ANC</x:v>
      </x:c>
      <x:c r="D18" s="13" t="str">
        <x:v>CACEM</x:v>
      </x:c>
      <x:c r="E18" s="13" t="str">
        <x:v>CACEM_EPCI</x:v>
      </x:c>
      <x:c r="F18" s="13" t="n">
        <x:v>28845</x:v>
      </x:c>
      <x:c r="G18" s="13" t="str">
        <x:v>foyers/installations</x:v>
      </x:c>
      <x:c r="H18" s="13" t="str">
        <x:v>RAD_RPQS</x:v>
      </x:c>
      <x:c r="I18" s="13" t="str">
        <x:v>OK</x:v>
      </x:c>
      <x:c r="J18" s="13" t="str">
        <x:v>PRODUCTION</x:v>
      </x:c>
      <x:c r="K18" s="13" t="str">
        <x:v>COMPLETE</x:v>
      </x:c>
      <x:c r="L18" s="13" t="str"/>
    </x:row>
    <x:row r="19">
      <x:c r="A19" s="13" t="n">
        <x:v>2023</x:v>
      </x:c>
      <x:c r="B19" s="13" t="str">
        <x:v>ANC_CONTROLES_TOTAL</x:v>
      </x:c>
      <x:c r="C19" s="13" t="str">
        <x:v>ANC</x:v>
      </x:c>
      <x:c r="D19" s="13" t="str">
        <x:v>CACEM</x:v>
      </x:c>
      <x:c r="E19" s="13" t="str">
        <x:v>CACEM_EPCI</x:v>
      </x:c>
      <x:c r="F19" s="13" t="n">
        <x:v>472</x:v>
      </x:c>
      <x:c r="G19" s="13" t="str">
        <x:v>contrôles/an</x:v>
      </x:c>
      <x:c r="H19" s="13" t="str">
        <x:v>RAD_RPQS</x:v>
      </x:c>
      <x:c r="I19" s="13" t="str">
        <x:v>OK</x:v>
      </x:c>
      <x:c r="J19" s="13" t="str">
        <x:v>PRODUCTION</x:v>
      </x:c>
      <x:c r="K19" s="13" t="str">
        <x:v>COMPLETE</x:v>
      </x:c>
      <x:c r="L19" s="13" t="str"/>
    </x:row>
    <x:row r="20">
      <x:c r="A20" s="13" t="n">
        <x:v>2023</x:v>
      </x:c>
      <x:c r="B20" s="13" t="str">
        <x:v>ANC_CONTROLE_CONCEPTION</x:v>
      </x:c>
      <x:c r="C20" s="13" t="str">
        <x:v>ANC</x:v>
      </x:c>
      <x:c r="D20" s="13" t="str">
        <x:v>CACEM</x:v>
      </x:c>
      <x:c r="E20" s="13" t="str">
        <x:v>CACEM_EPCI</x:v>
      </x:c>
      <x:c r="F20" s="13" t="n">
        <x:v>170</x:v>
      </x:c>
      <x:c r="G20" s="13" t="str">
        <x:v>contrôles/an</x:v>
      </x:c>
      <x:c r="H20" s="13" t="str">
        <x:v>RAD_RPQS</x:v>
      </x:c>
      <x:c r="I20" s="13" t="str">
        <x:v>OK</x:v>
      </x:c>
      <x:c r="J20" s="13" t="str">
        <x:v>PRODUCTION</x:v>
      </x:c>
      <x:c r="K20" s="13" t="str">
        <x:v>COMPLETE</x:v>
      </x:c>
      <x:c r="L20" s="13" t="str"/>
    </x:row>
    <x:row r="21">
      <x:c r="A21" s="13" t="n">
        <x:v>2023</x:v>
      </x:c>
      <x:c r="B21" s="13" t="str">
        <x:v>ANC_CONTROLE_EXECUTION</x:v>
      </x:c>
      <x:c r="C21" s="13" t="str">
        <x:v>ANC</x:v>
      </x:c>
      <x:c r="D21" s="13" t="str">
        <x:v>CACEM</x:v>
      </x:c>
      <x:c r="E21" s="13" t="str">
        <x:v>CACEM_EPCI</x:v>
      </x:c>
      <x:c r="F21" s="13" t="n">
        <x:v>61</x:v>
      </x:c>
      <x:c r="G21" s="13" t="str">
        <x:v>contrôles/an</x:v>
      </x:c>
      <x:c r="H21" s="13" t="str">
        <x:v>RAD_RPQS</x:v>
      </x:c>
      <x:c r="I21" s="13" t="str">
        <x:v>OK</x:v>
      </x:c>
      <x:c r="J21" s="13" t="str">
        <x:v>PRODUCTION</x:v>
      </x:c>
      <x:c r="K21" s="13" t="str">
        <x:v>COMPLETE</x:v>
      </x:c>
      <x:c r="L21" s="13" t="str"/>
    </x:row>
    <x:row r="22">
      <x:c r="A22" s="13" t="n">
        <x:v>2023</x:v>
      </x:c>
      <x:c r="B22" s="13" t="str">
        <x:v>ANC_CONTROLE_EXISTANT</x:v>
      </x:c>
      <x:c r="C22" s="13" t="str">
        <x:v>ANC</x:v>
      </x:c>
      <x:c r="D22" s="13" t="str">
        <x:v>CACEM</x:v>
      </x:c>
      <x:c r="E22" s="13" t="str">
        <x:v>CACEM_EPCI</x:v>
      </x:c>
      <x:c r="F22" s="13" t="n">
        <x:v>25</x:v>
      </x:c>
      <x:c r="G22" s="13" t="str">
        <x:v>contrôles/an</x:v>
      </x:c>
      <x:c r="H22" s="13" t="str">
        <x:v>RAD_RPQS</x:v>
      </x:c>
      <x:c r="I22" s="13" t="str">
        <x:v>OK</x:v>
      </x:c>
      <x:c r="J22" s="13" t="str">
        <x:v>PRODUCTION</x:v>
      </x:c>
      <x:c r="K22" s="13" t="str">
        <x:v>COMPLETE</x:v>
      </x:c>
      <x:c r="L22" s="13" t="str"/>
    </x:row>
    <x:row r="23">
      <x:c r="A23" s="13" t="n">
        <x:v>2023</x:v>
      </x:c>
      <x:c r="B23" s="13" t="str">
        <x:v>ANC_DIAGNOSTIC_VENTE</x:v>
      </x:c>
      <x:c r="C23" s="13" t="str">
        <x:v>ANC</x:v>
      </x:c>
      <x:c r="D23" s="13" t="str">
        <x:v>CACEM</x:v>
      </x:c>
      <x:c r="E23" s="13" t="str">
        <x:v>CACEM_EPCI</x:v>
      </x:c>
      <x:c r="F23" s="13" t="n">
        <x:v>216</x:v>
      </x:c>
      <x:c r="G23" s="13" t="str">
        <x:v>contrôles/an</x:v>
      </x:c>
      <x:c r="H23" s="13" t="str">
        <x:v>RAD_RPQS</x:v>
      </x:c>
      <x:c r="I23" s="13" t="str">
        <x:v>OK</x:v>
      </x:c>
      <x:c r="J23" s="13" t="str">
        <x:v>PRODUCTION</x:v>
      </x:c>
      <x:c r="K23" s="13" t="str">
        <x:v>COMPLETE</x:v>
      </x:c>
      <x:c r="L23" s="13" t="str"/>
    </x:row>
    <x:row r="24">
      <x:c r="A24" s="13" t="n">
        <x:v>2023</x:v>
      </x:c>
      <x:c r="B24" s="13" t="str">
        <x:v>EP_VOLUME_PRODUIT</x:v>
      </x:c>
      <x:c r="C24" s="13" t="str">
        <x:v>EAU_POTABLE</x:v>
      </x:c>
      <x:c r="D24" s="13" t="str">
        <x:v>EX_SICSM</x:v>
      </x:c>
      <x:c r="E24" s="13" t="str">
        <x:v>EX_SICSM_DSP_2015_2027</x:v>
      </x:c>
      <x:c r="F24" s="13" t="n">
        <x:v>15550899</x:v>
      </x:c>
      <x:c r="G24" s="13" t="str">
        <x:v>m³/an</x:v>
      </x:c>
      <x:c r="H24" s="13" t="str">
        <x:v>RAD_RPQS</x:v>
      </x:c>
      <x:c r="I24" s="13" t="str">
        <x:v>OK</x:v>
      </x:c>
      <x:c r="J24" s="13" t="str">
        <x:v>PRODUCTION</x:v>
      </x:c>
      <x:c r="K24" s="13" t="str">
        <x:v>COMPLETE</x:v>
      </x:c>
      <x:c r="L24" s="13" t="str">
        <x:v>Production commune au périmètre Ex-SICSM, non ventilée entre CAESM et Robert-Trinité.</x:v>
      </x:c>
    </x:row>
    <x:row r="25">
      <x:c r="A25" s="13" t="n">
        <x:v>2023</x:v>
      </x:c>
      <x:c r="B25" s="13" t="str">
        <x:v>EP_VOLUME_MIS_DISTRIBUTION</x:v>
      </x:c>
      <x:c r="C25" s="13" t="str">
        <x:v>EAU_POTABLE</x:v>
      </x:c>
      <x:c r="D25" s="13" t="str">
        <x:v>EX_SICSM</x:v>
      </x:c>
      <x:c r="E25" s="13" t="str">
        <x:v>EX_SICSM_DSP_2015_2027</x:v>
      </x:c>
      <x:c r="F25" s="13" t="n">
        <x:v>14188553</x:v>
      </x:c>
      <x:c r="G25" s="13" t="str">
        <x:v>m³/an</x:v>
      </x:c>
      <x:c r="H25" s="13" t="str">
        <x:v>RAD_RPQS</x:v>
      </x:c>
      <x:c r="I25" s="13" t="str">
        <x:v>OK</x:v>
      </x:c>
      <x:c r="J25" s="13" t="str">
        <x:v>PRODUCTION</x:v>
      </x:c>
      <x:c r="K25" s="13" t="str">
        <x:v>COMPLETE</x:v>
      </x:c>
      <x:c r="L25" s="13" t="str">
        <x:v>Périmètre Ex-SICSM.</x:v>
      </x:c>
    </x:row>
    <x:row r="26">
      <x:c r="A26" s="13" t="n">
        <x:v>2023</x:v>
      </x:c>
      <x:c r="B26" s="13" t="str">
        <x:v>EP_VOLUME_FACTURE</x:v>
      </x:c>
      <x:c r="C26" s="13" t="str">
        <x:v>EAU_POTABLE</x:v>
      </x:c>
      <x:c r="D26" s="13" t="str">
        <x:v>CAESM</x:v>
      </x:c>
      <x:c r="E26" s="13" t="str">
        <x:v>CAESM_EPCI</x:v>
      </x:c>
      <x:c r="F26" s="13" t="n">
        <x:v>7983058</x:v>
      </x:c>
      <x:c r="G26" s="13" t="str">
        <x:v>m³/an</x:v>
      </x:c>
      <x:c r="H26" s="13" t="str">
        <x:v>RAD_RPQS</x:v>
      </x:c>
      <x:c r="I26" s="13" t="str">
        <x:v>OK</x:v>
      </x:c>
      <x:c r="J26" s="13" t="str">
        <x:v>PRODUCTION</x:v>
      </x:c>
      <x:c r="K26" s="13" t="str">
        <x:v>COMPLETE</x:v>
      </x:c>
      <x:c r="L26" s="13" t="str"/>
    </x:row>
    <x:row r="27">
      <x:c r="A27" s="13" t="n">
        <x:v>2023</x:v>
      </x:c>
      <x:c r="B27" s="13" t="str">
        <x:v>EP_RESEAU_KM</x:v>
      </x:c>
      <x:c r="C27" s="13" t="str">
        <x:v>EAU_POTABLE</x:v>
      </x:c>
      <x:c r="D27" s="13" t="str">
        <x:v>CAESM</x:v>
      </x:c>
      <x:c r="E27" s="13" t="str">
        <x:v>CAESM_EPCI</x:v>
      </x:c>
      <x:c r="F27" s="13" t="n">
        <x:v>1377.23</x:v>
      </x:c>
      <x:c r="G27" s="13" t="str">
        <x:v>km</x:v>
      </x:c>
      <x:c r="H27" s="13" t="str">
        <x:v>RAD_RPQS</x:v>
      </x:c>
      <x:c r="I27" s="13" t="str">
        <x:v>OK</x:v>
      </x:c>
      <x:c r="J27" s="13" t="str">
        <x:v>PRODUCTION</x:v>
      </x:c>
      <x:c r="K27" s="13" t="str">
        <x:v>COMPLETE</x:v>
      </x:c>
      <x:c r="L27" s="13" t="str"/>
    </x:row>
    <x:row r="28">
      <x:c r="A28" s="13" t="n">
        <x:v>2023</x:v>
      </x:c>
      <x:c r="B28" s="13" t="str">
        <x:v>EP_ABONNES</x:v>
      </x:c>
      <x:c r="C28" s="13" t="str">
        <x:v>EAU_POTABLE</x:v>
      </x:c>
      <x:c r="D28" s="13" t="str">
        <x:v>CAESM</x:v>
      </x:c>
      <x:c r="E28" s="13" t="str">
        <x:v>CAESM_EPCI</x:v>
      </x:c>
      <x:c r="F28" s="13" t="n">
        <x:v>62699</x:v>
      </x:c>
      <x:c r="G28" s="13" t="str">
        <x:v>abonnés</x:v>
      </x:c>
      <x:c r="H28" s="13" t="str">
        <x:v>RAD_RPQS</x:v>
      </x:c>
      <x:c r="I28" s="13" t="str">
        <x:v>OK</x:v>
      </x:c>
      <x:c r="J28" s="13" t="str">
        <x:v>PRODUCTION</x:v>
      </x:c>
      <x:c r="K28" s="13" t="str">
        <x:v>COMPLETE</x:v>
      </x:c>
      <x:c r="L28" s="13" t="str"/>
    </x:row>
    <x:row r="29">
      <x:c r="A29" s="13" t="n">
        <x:v>2023</x:v>
      </x:c>
      <x:c r="B29" s="13" t="str">
        <x:v>P101.1_LOCAL</x:v>
      </x:c>
      <x:c r="C29" s="13" t="str">
        <x:v>EAU_POTABLE</x:v>
      </x:c>
      <x:c r="D29" s="13" t="str">
        <x:v>CAESM</x:v>
      </x:c>
      <x:c r="E29" s="13" t="str">
        <x:v>CAESM_EPCI</x:v>
      </x:c>
      <x:c r="F29" s="13" t="n">
        <x:v>98.5</x:v>
      </x:c>
      <x:c r="G29" s="13" t="str">
        <x:v>%</x:v>
      </x:c>
      <x:c r="H29" s="13" t="str">
        <x:v>RAD_RPQS</x:v>
      </x:c>
      <x:c r="I29" s="13" t="str">
        <x:v>OK</x:v>
      </x:c>
      <x:c r="J29" s="13" t="str">
        <x:v>PRODUCTION</x:v>
      </x:c>
      <x:c r="K29" s="13" t="str">
        <x:v>COMPLETE</x:v>
      </x:c>
      <x:c r="L29" s="13" t="str"/>
    </x:row>
    <x:row r="30">
      <x:c r="A30" s="13" t="n">
        <x:v>2023</x:v>
      </x:c>
      <x:c r="B30" s="13" t="str">
        <x:v>P102.1_LOCAL</x:v>
      </x:c>
      <x:c r="C30" s="13" t="str">
        <x:v>EAU_POTABLE</x:v>
      </x:c>
      <x:c r="D30" s="13" t="str">
        <x:v>CAESM</x:v>
      </x:c>
      <x:c r="E30" s="13" t="str">
        <x:v>CAESM_EPCI</x:v>
      </x:c>
      <x:c r="F30" s="13" t="n">
        <x:v>100</x:v>
      </x:c>
      <x:c r="G30" s="13" t="str">
        <x:v>%</x:v>
      </x:c>
      <x:c r="H30" s="13" t="str">
        <x:v>RAD_RPQS</x:v>
      </x:c>
      <x:c r="I30" s="13" t="str">
        <x:v>OK</x:v>
      </x:c>
      <x:c r="J30" s="13" t="str">
        <x:v>PRODUCTION</x:v>
      </x:c>
      <x:c r="K30" s="13" t="str">
        <x:v>COMPLETE</x:v>
      </x:c>
      <x:c r="L30" s="13" t="str"/>
    </x:row>
    <x:row r="31">
      <x:c r="A31" s="13" t="n">
        <x:v>2023</x:v>
      </x:c>
      <x:c r="B31" s="13" t="str">
        <x:v>EP_VOLUME_FACTURE</x:v>
      </x:c>
      <x:c r="C31" s="13" t="str">
        <x:v>EAU_POTABLE</x:v>
      </x:c>
      <x:c r="D31" s="13" t="str">
        <x:v>ROBERT_TRINITE</x:v>
      </x:c>
      <x:c r="E31" s="13" t="str">
        <x:v>ROBERT_TRINITE_EXSICSM</x:v>
      </x:c>
      <x:c r="F31" s="13" t="n">
        <x:v>1898167</x:v>
      </x:c>
      <x:c r="G31" s="13" t="str">
        <x:v>m³/an</x:v>
      </x:c>
      <x:c r="H31" s="13" t="str">
        <x:v>RAD_RPQS</x:v>
      </x:c>
      <x:c r="I31" s="13" t="str">
        <x:v>OK</x:v>
      </x:c>
      <x:c r="J31" s="13" t="str">
        <x:v>PRODUCTION</x:v>
      </x:c>
      <x:c r="K31" s="13" t="str">
        <x:v>COMPLETE</x:v>
      </x:c>
      <x:c r="L31" s="13" t="str">
        <x:v>Sous-périmètre de CAP Nord.</x:v>
      </x:c>
    </x:row>
    <x:row r="32">
      <x:c r="A32" s="13" t="n">
        <x:v>2023</x:v>
      </x:c>
      <x:c r="B32" s="13" t="str">
        <x:v>EP_RESEAU_KM</x:v>
      </x:c>
      <x:c r="C32" s="13" t="str">
        <x:v>EAU_POTABLE</x:v>
      </x:c>
      <x:c r="D32" s="13" t="str">
        <x:v>ROBERT_TRINITE</x:v>
      </x:c>
      <x:c r="E32" s="13" t="str">
        <x:v>ROBERT_TRINITE_EXSICSM</x:v>
      </x:c>
      <x:c r="F32" s="13" t="n">
        <x:v>284.3</x:v>
      </x:c>
      <x:c r="G32" s="13" t="str">
        <x:v>km</x:v>
      </x:c>
      <x:c r="H32" s="13" t="str">
        <x:v>RAD_RPQS</x:v>
      </x:c>
      <x:c r="I32" s="13" t="str">
        <x:v>OK</x:v>
      </x:c>
      <x:c r="J32" s="13" t="str">
        <x:v>PRODUCTION</x:v>
      </x:c>
      <x:c r="K32" s="13" t="str">
        <x:v>COMPLETE</x:v>
      </x:c>
      <x:c r="L32" s="13" t="str">
        <x:v>Sous-périmètre de CAP Nord.</x:v>
      </x:c>
    </x:row>
    <x:row r="33">
      <x:c r="A33" s="13" t="n">
        <x:v>2023</x:v>
      </x:c>
      <x:c r="B33" s="13" t="str">
        <x:v>AC_STEU_NB</x:v>
      </x:c>
      <x:c r="C33" s="13" t="str">
        <x:v>ASSAINISSEMENT_COLLECTIF</x:v>
      </x:c>
      <x:c r="D33" s="13" t="str">
        <x:v>CAESM</x:v>
      </x:c>
      <x:c r="E33" s="13" t="str">
        <x:v>CAESM_EPCI</x:v>
      </x:c>
      <x:c r="F33" s="13" t="n">
        <x:v>32</x:v>
      </x:c>
      <x:c r="G33" s="13" t="str">
        <x:v>stations</x:v>
      </x:c>
      <x:c r="H33" s="13" t="str">
        <x:v>RAD_RPQS</x:v>
      </x:c>
      <x:c r="I33" s="13" t="str">
        <x:v>OK</x:v>
      </x:c>
      <x:c r="J33" s="13" t="str">
        <x:v>PRODUCTION</x:v>
      </x:c>
      <x:c r="K33" s="13" t="str">
        <x:v>COMPLETE</x:v>
      </x:c>
      <x:c r="L33" s="13" t="str"/>
    </x:row>
    <x:row r="34">
      <x:c r="A34" s="13" t="n">
        <x:v>2023</x:v>
      </x:c>
      <x:c r="B34" s="13" t="str">
        <x:v>AC_POSTES_REFOULEMENT</x:v>
      </x:c>
      <x:c r="C34" s="13" t="str">
        <x:v>ASSAINISSEMENT_COLLECTIF</x:v>
      </x:c>
      <x:c r="D34" s="13" t="str">
        <x:v>CAESM</x:v>
      </x:c>
      <x:c r="E34" s="13" t="str">
        <x:v>CAESM_EPCI</x:v>
      </x:c>
      <x:c r="F34" s="13" t="n">
        <x:v>123</x:v>
      </x:c>
      <x:c r="G34" s="13" t="str">
        <x:v>ouvrages</x:v>
      </x:c>
      <x:c r="H34" s="13" t="str">
        <x:v>RAD_RPQS</x:v>
      </x:c>
      <x:c r="I34" s="13" t="str">
        <x:v>OK</x:v>
      </x:c>
      <x:c r="J34" s="13" t="str">
        <x:v>PRODUCTION</x:v>
      </x:c>
      <x:c r="K34" s="13" t="str">
        <x:v>COMPLETE</x:v>
      </x:c>
      <x:c r="L34" s="13" t="str"/>
    </x:row>
    <x:row r="35">
      <x:c r="A35" s="13" t="n">
        <x:v>2023</x:v>
      </x:c>
      <x:c r="B35" s="13" t="str">
        <x:v>AC_VOLUME_TRAITE</x:v>
      </x:c>
      <x:c r="C35" s="13" t="str">
        <x:v>ASSAINISSEMENT_COLLECTIF</x:v>
      </x:c>
      <x:c r="D35" s="13" t="str">
        <x:v>CAESM</x:v>
      </x:c>
      <x:c r="E35" s="13" t="str">
        <x:v>CAESM_EPCI</x:v>
      </x:c>
      <x:c r="F35" s="13" t="n">
        <x:v>3254971</x:v>
      </x:c>
      <x:c r="G35" s="13" t="str">
        <x:v>m³/an</x:v>
      </x:c>
      <x:c r="H35" s="13" t="str">
        <x:v>RAD_RPQS</x:v>
      </x:c>
      <x:c r="I35" s="13" t="str">
        <x:v>OK</x:v>
      </x:c>
      <x:c r="J35" s="13" t="str">
        <x:v>PRODUCTION</x:v>
      </x:c>
      <x:c r="K35" s="13" t="str">
        <x:v>COMPLETE</x:v>
      </x:c>
      <x:c r="L35" s="13" t="str"/>
    </x:row>
    <x:row r="36">
      <x:c r="A36" s="13" t="n">
        <x:v>2023</x:v>
      </x:c>
      <x:c r="B36" s="13" t="str">
        <x:v>AC_BOUES_TMS</x:v>
      </x:c>
      <x:c r="C36" s="13" t="str">
        <x:v>ASSAINISSEMENT_COLLECTIF</x:v>
      </x:c>
      <x:c r="D36" s="13" t="str">
        <x:v>CAESM</x:v>
      </x:c>
      <x:c r="E36" s="13" t="str">
        <x:v>CAESM_EPCI</x:v>
      </x:c>
      <x:c r="F36" s="13" t="n">
        <x:v>322.2</x:v>
      </x:c>
      <x:c r="G36" s="13" t="str">
        <x:v>tMS/an</x:v>
      </x:c>
      <x:c r="H36" s="13" t="str">
        <x:v>RAD_RPQS</x:v>
      </x:c>
      <x:c r="I36" s="13" t="str">
        <x:v>OK</x:v>
      </x:c>
      <x:c r="J36" s="13" t="str">
        <x:v>PRODUCTION</x:v>
      </x:c>
      <x:c r="K36" s="13" t="str">
        <x:v>COMPLETE</x:v>
      </x:c>
      <x:c r="L36" s="13" t="str"/>
    </x:row>
    <x:row r="37">
      <x:c r="A37" s="13" t="n">
        <x:v>2023</x:v>
      </x:c>
      <x:c r="B37" s="13" t="str">
        <x:v>AC_RESEAU_KM</x:v>
      </x:c>
      <x:c r="C37" s="13" t="str">
        <x:v>ASSAINISSEMENT_COLLECTIF</x:v>
      </x:c>
      <x:c r="D37" s="13" t="str">
        <x:v>CAESM</x:v>
      </x:c>
      <x:c r="E37" s="13" t="str">
        <x:v>CAESM_EPCI</x:v>
      </x:c>
      <x:c r="F37" s="13" t="n">
        <x:v>305.1</x:v>
      </x:c>
      <x:c r="G37" s="13" t="str">
        <x:v>km</x:v>
      </x:c>
      <x:c r="H37" s="13" t="str">
        <x:v>RAD_RPQS</x:v>
      </x:c>
      <x:c r="I37" s="13" t="str">
        <x:v>OK</x:v>
      </x:c>
      <x:c r="J37" s="13" t="str">
        <x:v>PRODUCTION</x:v>
      </x:c>
      <x:c r="K37" s="13" t="str">
        <x:v>COMPLETE</x:v>
      </x:c>
      <x:c r="L37" s="13" t="str"/>
    </x:row>
    <x:row r="38">
      <x:c r="A38" s="13" t="n">
        <x:v>2023</x:v>
      </x:c>
      <x:c r="B38" s="13" t="str">
        <x:v>AC_ABONNES</x:v>
      </x:c>
      <x:c r="C38" s="13" t="str">
        <x:v>ASSAINISSEMENT_COLLECTIF</x:v>
      </x:c>
      <x:c r="D38" s="13" t="str">
        <x:v>CAESM</x:v>
      </x:c>
      <x:c r="E38" s="13" t="str">
        <x:v>CAESM_EPCI</x:v>
      </x:c>
      <x:c r="F38" s="13" t="n">
        <x:v>24046</x:v>
      </x:c>
      <x:c r="G38" s="13" t="str">
        <x:v>abonnés</x:v>
      </x:c>
      <x:c r="H38" s="13" t="str">
        <x:v>RAD_RPQS</x:v>
      </x:c>
      <x:c r="I38" s="13" t="str">
        <x:v>OK</x:v>
      </x:c>
      <x:c r="J38" s="13" t="str">
        <x:v>PRODUCTION</x:v>
      </x:c>
      <x:c r="K38" s="13" t="str">
        <x:v>COMPLETE</x:v>
      </x:c>
      <x:c r="L38" s="13" t="str"/>
    </x:row>
    <x:row r="39">
      <x:c r="A39" s="13" t="n">
        <x:v>2023</x:v>
      </x:c>
      <x:c r="B39" s="13" t="str">
        <x:v>AC_STEU_NB</x:v>
      </x:c>
      <x:c r="C39" s="13" t="str">
        <x:v>ASSAINISSEMENT_COLLECTIF</x:v>
      </x:c>
      <x:c r="D39" s="13" t="str">
        <x:v>ROBERT_TRINITE</x:v>
      </x:c>
      <x:c r="E39" s="13" t="str">
        <x:v>ROBERT_TRINITE_EXSICSM</x:v>
      </x:c>
      <x:c r="F39" s="13" t="n">
        <x:v>8</x:v>
      </x:c>
      <x:c r="G39" s="13" t="str">
        <x:v>stations</x:v>
      </x:c>
      <x:c r="H39" s="13" t="str">
        <x:v>RAD_RPQS</x:v>
      </x:c>
      <x:c r="I39" s="13" t="str">
        <x:v>OK</x:v>
      </x:c>
      <x:c r="J39" s="13" t="str">
        <x:v>PRODUCTION</x:v>
      </x:c>
      <x:c r="K39" s="13" t="str">
        <x:v>COMPLETE</x:v>
      </x:c>
      <x:c r="L39" s="13" t="str">
        <x:v>Sous-périmètre de CAP Nord.</x:v>
      </x:c>
    </x:row>
    <x:row r="40">
      <x:c r="A40" s="13" t="n">
        <x:v>2023</x:v>
      </x:c>
      <x:c r="B40" s="13" t="str">
        <x:v>AC_POSTES_REFOULEMENT</x:v>
      </x:c>
      <x:c r="C40" s="13" t="str">
        <x:v>ASSAINISSEMENT_COLLECTIF</x:v>
      </x:c>
      <x:c r="D40" s="13" t="str">
        <x:v>ROBERT_TRINITE</x:v>
      </x:c>
      <x:c r="E40" s="13" t="str">
        <x:v>ROBERT_TRINITE_EXSICSM</x:v>
      </x:c>
      <x:c r="F40" s="13" t="n">
        <x:v>62</x:v>
      </x:c>
      <x:c r="G40" s="13" t="str">
        <x:v>ouvrages</x:v>
      </x:c>
      <x:c r="H40" s="13" t="str">
        <x:v>RAD_RPQS</x:v>
      </x:c>
      <x:c r="I40" s="13" t="str">
        <x:v>OK</x:v>
      </x:c>
      <x:c r="J40" s="13" t="str">
        <x:v>PRODUCTION</x:v>
      </x:c>
      <x:c r="K40" s="13" t="str">
        <x:v>COMPLETE</x:v>
      </x:c>
      <x:c r="L40" s="13" t="str">
        <x:v>Sous-périmètre de CAP Nord.</x:v>
      </x:c>
    </x:row>
    <x:row r="41">
      <x:c r="A41" s="13" t="n">
        <x:v>2023</x:v>
      </x:c>
      <x:c r="B41" s="13" t="str">
        <x:v>AC_VOLUME_TRAITE</x:v>
      </x:c>
      <x:c r="C41" s="13" t="str">
        <x:v>ASSAINISSEMENT_COLLECTIF</x:v>
      </x:c>
      <x:c r="D41" s="13" t="str">
        <x:v>ROBERT_TRINITE</x:v>
      </x:c>
      <x:c r="E41" s="13" t="str">
        <x:v>ROBERT_TRINITE_EXSICSM</x:v>
      </x:c>
      <x:c r="F41" s="13" t="n">
        <x:v>834627</x:v>
      </x:c>
      <x:c r="G41" s="13" t="str">
        <x:v>m³/an</x:v>
      </x:c>
      <x:c r="H41" s="13" t="str">
        <x:v>RAD_RPQS</x:v>
      </x:c>
      <x:c r="I41" s="13" t="str">
        <x:v>OK</x:v>
      </x:c>
      <x:c r="J41" s="13" t="str">
        <x:v>PRODUCTION</x:v>
      </x:c>
      <x:c r="K41" s="13" t="str">
        <x:v>COMPLETE</x:v>
      </x:c>
      <x:c r="L41" s="13" t="str">
        <x:v>Sous-périmètre de CAP Nord.</x:v>
      </x:c>
    </x:row>
    <x:row r="42">
      <x:c r="A42" s="13" t="n">
        <x:v>2023</x:v>
      </x:c>
      <x:c r="B42" s="13" t="str">
        <x:v>AC_BOUES_TMS</x:v>
      </x:c>
      <x:c r="C42" s="13" t="str">
        <x:v>ASSAINISSEMENT_COLLECTIF</x:v>
      </x:c>
      <x:c r="D42" s="13" t="str">
        <x:v>ROBERT_TRINITE</x:v>
      </x:c>
      <x:c r="E42" s="13" t="str">
        <x:v>ROBERT_TRINITE_EXSICSM</x:v>
      </x:c>
      <x:c r="F42" s="13" t="n">
        <x:v>106.259</x:v>
      </x:c>
      <x:c r="G42" s="13" t="str">
        <x:v>tMS/an</x:v>
      </x:c>
      <x:c r="H42" s="13" t="str">
        <x:v>RAD_RPQS</x:v>
      </x:c>
      <x:c r="I42" s="13" t="str">
        <x:v>OK</x:v>
      </x:c>
      <x:c r="J42" s="13" t="str">
        <x:v>PRODUCTION</x:v>
      </x:c>
      <x:c r="K42" s="13" t="str">
        <x:v>COMPLETE</x:v>
      </x:c>
      <x:c r="L42" s="13" t="str">
        <x:v>Sous-périmètre de CAP Nord.</x:v>
      </x:c>
    </x:row>
    <x:row r="43">
      <x:c r="A43" s="13" t="n">
        <x:v>2023</x:v>
      </x:c>
      <x:c r="B43" s="13" t="str">
        <x:v>AC_RESEAU_KM</x:v>
      </x:c>
      <x:c r="C43" s="13" t="str">
        <x:v>ASSAINISSEMENT_COLLECTIF</x:v>
      </x:c>
      <x:c r="D43" s="13" t="str">
        <x:v>ROBERT_TRINITE</x:v>
      </x:c>
      <x:c r="E43" s="13" t="str">
        <x:v>ROBERT_TRINITE_EXSICSM</x:v>
      </x:c>
      <x:c r="F43" s="13" t="n">
        <x:v>102.502</x:v>
      </x:c>
      <x:c r="G43" s="13" t="str">
        <x:v>km</x:v>
      </x:c>
      <x:c r="H43" s="13" t="str">
        <x:v>RAD_RPQS</x:v>
      </x:c>
      <x:c r="I43" s="13" t="str">
        <x:v>OK</x:v>
      </x:c>
      <x:c r="J43" s="13" t="str">
        <x:v>PRODUCTION</x:v>
      </x:c>
      <x:c r="K43" s="13" t="str">
        <x:v>COMPLETE</x:v>
      </x:c>
      <x:c r="L43" s="13" t="str">
        <x:v>Sous-périmètre de CAP Nord.</x:v>
      </x:c>
    </x:row>
    <x:row r="44">
      <x:c r="A44" s="13" t="n">
        <x:v>2023</x:v>
      </x:c>
      <x:c r="B44" s="13" t="str">
        <x:v>AC_ABONNES</x:v>
      </x:c>
      <x:c r="C44" s="13" t="str">
        <x:v>ASSAINISSEMENT_COLLECTIF</x:v>
      </x:c>
      <x:c r="D44" s="13" t="str">
        <x:v>ROBERT_TRINITE</x:v>
      </x:c>
      <x:c r="E44" s="13" t="str">
        <x:v>ROBERT_TRINITE_EXSICSM</x:v>
      </x:c>
      <x:c r="F44" s="13" t="n">
        <x:v>6774</x:v>
      </x:c>
      <x:c r="G44" s="13" t="str">
        <x:v>abonnés</x:v>
      </x:c>
      <x:c r="H44" s="13" t="str">
        <x:v>RAD_RPQS</x:v>
      </x:c>
      <x:c r="I44" s="13" t="str">
        <x:v>OK</x:v>
      </x:c>
      <x:c r="J44" s="13" t="str">
        <x:v>PRODUCTION</x:v>
      </x:c>
      <x:c r="K44" s="13" t="str">
        <x:v>COMPLETE</x:v>
      </x:c>
      <x:c r="L44" s="13" t="str">
        <x:v>Sous-périmètre de CAP Nord.</x:v>
      </x:c>
    </x:row>
    <x:row r="45">
      <x:c r="A45" s="13" t="n">
        <x:v>2023</x:v>
      </x:c>
      <x:c r="B45" s="13" t="str">
        <x:v>ANC_CONTROLE_CONCEPTION</x:v>
      </x:c>
      <x:c r="C45" s="13" t="str">
        <x:v>ANC</x:v>
      </x:c>
      <x:c r="D45" s="13" t="str">
        <x:v>CAESM</x:v>
      </x:c>
      <x:c r="E45" s="13" t="str">
        <x:v>CAESM_EPCI</x:v>
      </x:c>
      <x:c r="F45" s="13" t="n">
        <x:v>494</x:v>
      </x:c>
      <x:c r="G45" s="13" t="str">
        <x:v>contrôles/an</x:v>
      </x:c>
      <x:c r="H45" s="13" t="str">
        <x:v>RAD_RPQS</x:v>
      </x:c>
      <x:c r="I45" s="13" t="str">
        <x:v>OK</x:v>
      </x:c>
      <x:c r="J45" s="13" t="str">
        <x:v>PRODUCTION</x:v>
      </x:c>
      <x:c r="K45" s="13" t="str">
        <x:v>COMPLETE</x:v>
      </x:c>
      <x:c r="L45" s="13" t="str">
        <x:v>443 PC + 51 réhabilitations.</x:v>
      </x:c>
    </x:row>
    <x:row r="46">
      <x:c r="A46" s="13" t="n">
        <x:v>2023</x:v>
      </x:c>
      <x:c r="B46" s="13" t="str">
        <x:v>ANC_CONTROLE_EXECUTION</x:v>
      </x:c>
      <x:c r="C46" s="13" t="str">
        <x:v>ANC</x:v>
      </x:c>
      <x:c r="D46" s="13" t="str">
        <x:v>CAESM</x:v>
      </x:c>
      <x:c r="E46" s="13" t="str">
        <x:v>CAESM_EPCI</x:v>
      </x:c>
      <x:c r="F46" s="13" t="n">
        <x:v>61</x:v>
      </x:c>
      <x:c r="G46" s="13" t="str">
        <x:v>contrôles/an</x:v>
      </x:c>
      <x:c r="H46" s="13" t="str">
        <x:v>RAD_RPQS</x:v>
      </x:c>
      <x:c r="I46" s="13" t="str">
        <x:v>OK</x:v>
      </x:c>
      <x:c r="J46" s="13" t="str">
        <x:v>PRODUCTION</x:v>
      </x:c>
      <x:c r="K46" s="13" t="str">
        <x:v>COMPLETE</x:v>
      </x:c>
      <x:c r="L46" s="13" t="str"/>
    </x:row>
    <x:row r="47">
      <x:c r="A47" s="13" t="n">
        <x:v>2023</x:v>
      </x:c>
      <x:c r="B47" s="13" t="str">
        <x:v>ANC_CONTROLE_EXISTANT</x:v>
      </x:c>
      <x:c r="C47" s="13" t="str">
        <x:v>ANC</x:v>
      </x:c>
      <x:c r="D47" s="13" t="str">
        <x:v>CAESM</x:v>
      </x:c>
      <x:c r="E47" s="13" t="str">
        <x:v>CAESM_EPCI</x:v>
      </x:c>
      <x:c r="F47" s="13" t="n">
        <x:v>250</x:v>
      </x:c>
      <x:c r="G47" s="13" t="str">
        <x:v>contrôles/an</x:v>
      </x:c>
      <x:c r="H47" s="13" t="str">
        <x:v>RAD_RPQS</x:v>
      </x:c>
      <x:c r="I47" s="13" t="str">
        <x:v>OK</x:v>
      </x:c>
      <x:c r="J47" s="13" t="str">
        <x:v>PRODUCTION</x:v>
      </x:c>
      <x:c r="K47" s="13" t="str">
        <x:v>COMPLETE</x:v>
      </x:c>
      <x:c r="L47" s="13" t="str">
        <x:v>216 ventes + 34 ponctuels/nuisances.</x:v>
      </x:c>
    </x:row>
    <x:row r="48">
      <x:c r="A48" s="13" t="n">
        <x:v>2023</x:v>
      </x:c>
      <x:c r="B48" s="13" t="str">
        <x:v>ANC_CONTROLES_TOTAL</x:v>
      </x:c>
      <x:c r="C48" s="13" t="str">
        <x:v>ANC</x:v>
      </x:c>
      <x:c r="D48" s="13" t="str">
        <x:v>CAESM</x:v>
      </x:c>
      <x:c r="E48" s="13" t="str">
        <x:v>CAESM_EPCI</x:v>
      </x:c>
      <x:c r="F48" s="13" t="n">
        <x:v>805</x:v>
      </x:c>
      <x:c r="G48" s="13" t="str">
        <x:v>contrôles/an</x:v>
      </x:c>
      <x:c r="H48" s="13" t="str">
        <x:v>RAD_RPQS</x:v>
      </x:c>
      <x:c r="I48" s="13" t="str">
        <x:v>OK</x:v>
      </x:c>
      <x:c r="J48" s="13" t="str">
        <x:v>PRODUCTION</x:v>
      </x:c>
      <x:c r="K48" s="13" t="str">
        <x:v>COMPLETE</x:v>
      </x:c>
      <x:c r="L48" s="13" t="str"/>
    </x:row>
    <x:row r="49">
      <x:c r="A49" s="13" t="n">
        <x:v>2023</x:v>
      </x:c>
      <x:c r="B49" s="13" t="str">
        <x:v>D301.0_LOCAL</x:v>
      </x:c>
      <x:c r="C49" s="13" t="str">
        <x:v>ANC</x:v>
      </x:c>
      <x:c r="D49" s="13" t="str">
        <x:v>CAESM</x:v>
      </x:c>
      <x:c r="E49" s="13" t="str">
        <x:v>CAESM_EPCI</x:v>
      </x:c>
      <x:c r="F49" s="13" t="n">
        <x:v>73440</x:v>
      </x:c>
      <x:c r="G49" s="13" t="str">
        <x:v>habitants</x:v>
      </x:c>
      <x:c r="H49" s="13" t="str">
        <x:v>RAD_RPQS</x:v>
      </x:c>
      <x:c r="I49" s="13" t="str">
        <x:v>OK</x:v>
      </x:c>
      <x:c r="J49" s="13" t="str">
        <x:v>PRODUCTION</x:v>
      </x:c>
      <x:c r="K49" s="13" t="str">
        <x:v>COMPLETE</x:v>
      </x:c>
      <x:c r="L49" s="13" t="str">
        <x:v>Calcul local : (abonnés AEP - abonnés AC) × 1,9 personne/foyer.</x:v>
      </x:c>
    </x:row>
    <x:row r="50">
      <x:c r="A50" s="13" t="n">
        <x:v>2023</x:v>
      </x:c>
      <x:c r="B50" s="13" t="str">
        <x:v>ANC_INSTALLATIONS_ESTIMEES</x:v>
      </x:c>
      <x:c r="C50" s="13" t="str">
        <x:v>ANC</x:v>
      </x:c>
      <x:c r="D50" s="13" t="str">
        <x:v>CAESM</x:v>
      </x:c>
      <x:c r="E50" s="13" t="str">
        <x:v>CAESM_EPCI</x:v>
      </x:c>
      <x:c r="F50" s="13" t="n">
        <x:v>38653</x:v>
      </x:c>
      <x:c r="G50" s="13" t="str">
        <x:v>foyers/installations</x:v>
      </x:c>
      <x:c r="H50" s="13" t="str">
        <x:v>RAD_RPQS</x:v>
      </x:c>
      <x:c r="I50" s="13" t="str">
        <x:v>OK</x:v>
      </x:c>
      <x:c r="J50" s="13" t="str">
        <x:v>PRODUCTION</x:v>
      </x:c>
      <x:c r="K50" s="13" t="str">
        <x:v>COMPLETE</x:v>
      </x:c>
      <x:c r="L50" s="13" t="str"/>
    </x:row>
    <x:row r="51">
      <x:c r="A51" s="13" t="n">
        <x:v>2023</x:v>
      </x:c>
      <x:c r="B51" s="13" t="str">
        <x:v>P301.3</x:v>
      </x:c>
      <x:c r="C51" s="13" t="str">
        <x:v>ANC</x:v>
      </x:c>
      <x:c r="D51" s="13" t="str">
        <x:v>CAESM</x:v>
      </x:c>
      <x:c r="E51" s="13" t="str">
        <x:v>CAESM_EPCI</x:v>
      </x:c>
      <x:c r="F51" s="13" t="str"/>
      <x:c r="G51" s="13" t="str">
        <x:v>%</x:v>
      </x:c>
      <x:c r="H51" s="13" t="str">
        <x:v>RAD_RPQS</x:v>
      </x:c>
      <x:c r="I51" s="13" t="str">
        <x:v>NOT_CALCULABLE</x:v>
      </x:c>
      <x:c r="J51" s="13" t="str">
        <x:v>DIAGNOSTIC</x:v>
      </x:c>
      <x:c r="K51" s="13" t="str">
        <x:v>NOT_APPLICABLE</x:v>
      </x:c>
      <x:c r="L51" s="13" t="str">
        <x:v>D302.0 = 70 (&lt;100), le RPQS indique que P301.3 ne doit pas être calculé.</x:v>
      </x:c>
    </x:row>
    <x:row r="52">
      <x:c r="A52" s="13" t="n">
        <x:v>2023</x:v>
      </x:c>
      <x:c r="B52" s="13" t="str">
        <x:v>AC_RESEAU_KM</x:v>
      </x:c>
      <x:c r="C52" s="13" t="str">
        <x:v>ASSAINISSEMENT_COLLECTIF</x:v>
      </x:c>
      <x:c r="D52" s="13" t="str">
        <x:v>CAP_NORD</x:v>
      </x:c>
      <x:c r="E52" s="13" t="str">
        <x:v>CAP_NORD_EPCI</x:v>
      </x:c>
      <x:c r="F52" s="13" t="n">
        <x:v>254.88</x:v>
      </x:c>
      <x:c r="G52" s="13" t="str">
        <x:v>km</x:v>
      </x:c>
      <x:c r="H52" s="13" t="str">
        <x:v>RAD_RPQS</x:v>
      </x:c>
      <x:c r="I52" s="13" t="str">
        <x:v>OK</x:v>
      </x:c>
      <x:c r="J52" s="13" t="str">
        <x:v>PRODUCTION</x:v>
      </x:c>
      <x:c r="K52" s="13" t="str">
        <x:v>COMPLETE</x:v>
      </x:c>
      <x:c r="L52" s="13" t="str"/>
    </x:row>
    <x:row r="53">
      <x:c r="A53" s="13" t="n">
        <x:v>2023</x:v>
      </x:c>
      <x:c r="B53" s="13" t="str">
        <x:v>AC_BOUES_TMS</x:v>
      </x:c>
      <x:c r="C53" s="13" t="str">
        <x:v>ASSAINISSEMENT_COLLECTIF</x:v>
      </x:c>
      <x:c r="D53" s="13" t="str">
        <x:v>CAP_NORD</x:v>
      </x:c>
      <x:c r="E53" s="13" t="str">
        <x:v>CAP_NORD_EPCI</x:v>
      </x:c>
      <x:c r="F53" s="13" t="n">
        <x:v>353</x:v>
      </x:c>
      <x:c r="G53" s="13" t="str">
        <x:v>tMS/an</x:v>
      </x:c>
      <x:c r="H53" s="13" t="str">
        <x:v>RAD_RPQS</x:v>
      </x:c>
      <x:c r="I53" s="13" t="str">
        <x:v>OK</x:v>
      </x:c>
      <x:c r="J53" s="13" t="str">
        <x:v>PRODUCTION</x:v>
      </x:c>
      <x:c r="K53" s="13" t="str">
        <x:v>COMPLETE</x:v>
      </x:c>
      <x:c r="L53" s="13" t="str">
        <x:v>Somme Trinité-Robert + autres communes.</x:v>
      </x:c>
    </x:row>
    <x:row r="54">
      <x:c r="A54" s="13" t="n">
        <x:v>2023</x:v>
      </x:c>
      <x:c r="B54" s="13" t="str">
        <x:v>AC_ABONNES</x:v>
      </x:c>
      <x:c r="C54" s="13" t="str">
        <x:v>ASSAINISSEMENT_COLLECTIF</x:v>
      </x:c>
      <x:c r="D54" s="13" t="str">
        <x:v>CAP_NORD</x:v>
      </x:c>
      <x:c r="E54" s="13" t="str">
        <x:v>CAP_NORD_EPCI</x:v>
      </x:c>
      <x:c r="F54" s="13" t="n">
        <x:v>17981</x:v>
      </x:c>
      <x:c r="G54" s="13" t="str">
        <x:v>abonnés</x:v>
      </x:c>
      <x:c r="H54" s="13" t="str">
        <x:v>RAD_RPQS</x:v>
      </x:c>
      <x:c r="I54" s="13" t="str">
        <x:v>OK</x:v>
      </x:c>
      <x:c r="J54" s="13" t="str">
        <x:v>PRODUCTION</x:v>
      </x:c>
      <x:c r="K54" s="13" t="str">
        <x:v>COMPLETE</x:v>
      </x:c>
      <x:c r="L54" s="13" t="str"/>
    </x:row>
    <x:row r="55">
      <x:c r="A55" s="13" t="n">
        <x:v>2023</x:v>
      </x:c>
      <x:c r="B55" s="13" t="str">
        <x:v>AC_POPULATION_DESSERVIE</x:v>
      </x:c>
      <x:c r="C55" s="13" t="str">
        <x:v>ASSAINISSEMENT_COLLECTIF</x:v>
      </x:c>
      <x:c r="D55" s="13" t="str">
        <x:v>CAP_NORD</x:v>
      </x:c>
      <x:c r="E55" s="13" t="str">
        <x:v>CAP_NORD_EPCI</x:v>
      </x:c>
      <x:c r="F55" s="13" t="n">
        <x:v>44409</x:v>
      </x:c>
      <x:c r="G55" s="13" t="str">
        <x:v>habitants</x:v>
      </x:c>
      <x:c r="H55" s="13" t="str">
        <x:v>RAD_RPQS</x:v>
      </x:c>
      <x:c r="I55" s="13" t="str">
        <x:v>OK</x:v>
      </x:c>
      <x:c r="J55" s="13" t="str">
        <x:v>PRODUCTION</x:v>
      </x:c>
      <x:c r="K55" s="13" t="str">
        <x:v>COMPLETE</x:v>
      </x:c>
      <x:c r="L55" s="13" t="str"/>
    </x:row>
    <x:row r="56">
      <x:c r="A56" s="13" t="n">
        <x:v>2023</x:v>
      </x:c>
      <x:c r="B56" s="13" t="str">
        <x:v>AC_VOLUME_ASSUJETTI</x:v>
      </x:c>
      <x:c r="C56" s="13" t="str">
        <x:v>ASSAINISSEMENT_COLLECTIF</x:v>
      </x:c>
      <x:c r="D56" s="13" t="str">
        <x:v>CAP_NORD</x:v>
      </x:c>
      <x:c r="E56" s="13" t="str">
        <x:v>CAP_NORD_EPCI</x:v>
      </x:c>
      <x:c r="F56" s="13" t="n">
        <x:v>1771215</x:v>
      </x:c>
      <x:c r="G56" s="13" t="str">
        <x:v>m³/an</x:v>
      </x:c>
      <x:c r="H56" s="13" t="str">
        <x:v>RAD_RPQS</x:v>
      </x:c>
      <x:c r="I56" s="13" t="str">
        <x:v>OK</x:v>
      </x:c>
      <x:c r="J56" s="13" t="str">
        <x:v>PRODUCTION</x:v>
      </x:c>
      <x:c r="K56" s="13" t="str">
        <x:v>COMPLETE</x:v>
      </x:c>
      <x:c r="L56" s="13" t="str">
        <x:v>Volume assujetti à la redevance ; ne pas confondre avec volume traité.</x:v>
      </x:c>
    </x:row>
    <x:row r="57">
      <x:c r="A57" s="13" t="n">
        <x:v>2023</x:v>
      </x:c>
      <x:c r="B57" s="13" t="str">
        <x:v>D301.0_LOCAL</x:v>
      </x:c>
      <x:c r="C57" s="13" t="str">
        <x:v>ANC</x:v>
      </x:c>
      <x:c r="D57" s="13" t="str">
        <x:v>CAP_NORD</x:v>
      </x:c>
      <x:c r="E57" s="13" t="str">
        <x:v>CAP_NORD_EPCI</x:v>
      </x:c>
      <x:c r="F57" s="13" t="n">
        <x:v>96187</x:v>
      </x:c>
      <x:c r="G57" s="13" t="str">
        <x:v>habitants</x:v>
      </x:c>
      <x:c r="H57" s="13" t="str">
        <x:v>RAD_RPQS</x:v>
      </x:c>
      <x:c r="I57" s="13" t="str">
        <x:v>METHODOLOGY_TO_REVIEW</x:v>
      </x:c>
      <x:c r="J57" s="13" t="str">
        <x:v>DIAGNOSTIC</x:v>
      </x:c>
      <x:c r="K57" s="13" t="str">
        <x:v>COMPLETE</x:v>
      </x:c>
      <x:c r="L57" s="13" t="str">
        <x:v>La valeur correspond à une population INSEE ancienne du territoire et semble surestimer la population réellement en ANC.</x:v>
      </x:c>
    </x:row>
    <x:row r="58">
      <x:c r="A58" s="13" t="n">
        <x:v>2023</x:v>
      </x:c>
      <x:c r="B58" s="13" t="str">
        <x:v>ANC_INSTALLATIONS_ESTIMEES</x:v>
      </x:c>
      <x:c r="C58" s="13" t="str">
        <x:v>ANC</x:v>
      </x:c>
      <x:c r="D58" s="13" t="str">
        <x:v>CAP_NORD</x:v>
      </x:c>
      <x:c r="E58" s="13" t="str">
        <x:v>CAP_NORD_EPCI</x:v>
      </x:c>
      <x:c r="F58" s="13" t="n">
        <x:v>30152</x:v>
      </x:c>
      <x:c r="G58" s="13" t="str">
        <x:v>installations</x:v>
      </x:c>
      <x:c r="H58" s="13" t="str">
        <x:v>RAD_RPQS</x:v>
      </x:c>
      <x:c r="I58" s="13" t="str">
        <x:v>OK</x:v>
      </x:c>
      <x:c r="J58" s="13" t="str">
        <x:v>PRODUCTION</x:v>
      </x:c>
      <x:c r="K58" s="13" t="str">
        <x:v>COMPLETE</x:v>
      </x:c>
      <x:c r="L58" s="13" t="str"/>
    </x:row>
    <x:row r="59">
      <x:c r="A59" s="13" t="n">
        <x:v>2023</x:v>
      </x:c>
      <x:c r="B59" s="13" t="str">
        <x:v>P301.3_PUBLISHED</x:v>
      </x:c>
      <x:c r="C59" s="13" t="str">
        <x:v>ANC</x:v>
      </x:c>
      <x:c r="D59" s="13" t="str">
        <x:v>CAP_NORD</x:v>
      </x:c>
      <x:c r="E59" s="13" t="str">
        <x:v>CAP_NORD_EPCI</x:v>
      </x:c>
      <x:c r="F59" s="13" t="n">
        <x:v>28</x:v>
      </x:c>
      <x:c r="G59" s="13" t="str">
        <x:v>%</x:v>
      </x:c>
      <x:c r="H59" s="13" t="str">
        <x:v>RAD_RPQS</x:v>
      </x:c>
      <x:c r="I59" s="13" t="str">
        <x:v>SOURCE_CALCULATION_ERROR</x:v>
      </x:c>
      <x:c r="J59" s="13" t="str">
        <x:v>AUDIT</x:v>
      </x:c>
      <x:c r="K59" s="13" t="str">
        <x:v>COMPLETE</x:v>
      </x:c>
      <x:c r="L59" s="13" t="str">
        <x:v>Valeur publiée 2023 ; 4801/18322 = 26,20 %. Le RPQS 2024 corrige rétrospectivement 2023 à 26,20 %.</x:v>
      </x:c>
    </x:row>
    <x:row r="60">
      <x:c r="A60" s="13" t="n">
        <x:v>2023</x:v>
      </x:c>
      <x:c r="B60" s="13" t="str">
        <x:v>P301.3</x:v>
      </x:c>
      <x:c r="C60" s="13" t="str">
        <x:v>ANC</x:v>
      </x:c>
      <x:c r="D60" s="13" t="str">
        <x:v>CAP_NORD</x:v>
      </x:c>
      <x:c r="E60" s="13" t="str">
        <x:v>CAP_NORD_EPCI</x:v>
      </x:c>
      <x:c r="F60" s="13" t="n">
        <x:v>26.203471236764546</x:v>
      </x:c>
      <x:c r="G60" s="13" t="str">
        <x:v>%</x:v>
      </x:c>
      <x:c r="H60" s="13" t="str">
        <x:v>RAD_RPQS</x:v>
      </x:c>
      <x:c r="I60" s="13" t="str">
        <x:v>REVISED_BY_LATER_SOURCE</x:v>
      </x:c>
      <x:c r="J60" s="13" t="str">
        <x:v>PRODUCTION</x:v>
      </x:c>
      <x:c r="K60" s="13" t="str">
        <x:v>COMPLETE</x:v>
      </x:c>
      <x:c r="L60" s="13" t="str">
        <x:v>Valeur recalculée et confirmée par le RPQS 2024.</x:v>
      </x:c>
    </x:row>
    <x:row r="61">
      <x:c r="A61" s="13" t="n">
        <x:v>2023</x:v>
      </x:c>
      <x:c r="B61" s="13" t="str">
        <x:v>AC_ABONNES</x:v>
      </x:c>
      <x:c r="C61" s="13" t="str">
        <x:v>ASSAINISSEMENT_COLLECTIF</x:v>
      </x:c>
      <x:c r="D61" s="13" t="str">
        <x:v>Martinique</x:v>
      </x:c>
      <x:c r="E61" s="13" t="str">
        <x:v>Martinique</x:v>
      </x:c>
      <x:c r="F61" s="13" t="n">
        <x:v>82085</x:v>
      </x:c>
      <x:c r="G61" s="13" t="str">
        <x:v>abonnés</x:v>
      </x:c>
      <x:c r="H61" s="13" t="str">
        <x:v>RAD_RPQS</x:v>
      </x:c>
      <x:c r="I61" s="13" t="str">
        <x:v>OK</x:v>
      </x:c>
      <x:c r="J61" s="13" t="str">
        <x:v>PRODUCTION</x:v>
      </x:c>
      <x:c r="K61" s="13" t="str">
        <x:v>COMPLETE</x:v>
      </x:c>
      <x:c r="L61" s="13" t="str">
        <x:v>Somme des trois EPCI à partir des RAD/RPQS locaux.</x:v>
      </x:c>
    </x:row>
    <x:row r="62">
      <x:c r="A62" s="13" t="n">
        <x:v>2023</x:v>
      </x:c>
      <x:c r="B62" s="13" t="str">
        <x:v>AC_RESEAU_KM</x:v>
      </x:c>
      <x:c r="C62" s="13" t="str">
        <x:v>ASSAINISSEMENT_COLLECTIF</x:v>
      </x:c>
      <x:c r="D62" s="13" t="str">
        <x:v>Martinique</x:v>
      </x:c>
      <x:c r="E62" s="13" t="str">
        <x:v>Martinique</x:v>
      </x:c>
      <x:c r="F62" s="13" t="n">
        <x:v>943.98</x:v>
      </x:c>
      <x:c r="G62" s="13" t="str">
        <x:v>km</x:v>
      </x:c>
      <x:c r="H62" s="13" t="str">
        <x:v>RAD_RPQS</x:v>
      </x:c>
      <x:c r="I62" s="13" t="str">
        <x:v>OK</x:v>
      </x:c>
      <x:c r="J62" s="13" t="str">
        <x:v>PRODUCTION</x:v>
      </x:c>
      <x:c r="K62" s="13" t="str">
        <x:v>COMPLETE</x:v>
      </x:c>
      <x:c r="L62" s="13" t="str">
        <x:v>Somme des trois EPCI à partir des RAD/RPQS locaux.</x:v>
      </x:c>
    </x:row>
    <x:row r="63">
      <x:c r="A63" s="13" t="n">
        <x:v>2023</x:v>
      </x:c>
      <x:c r="B63" s="13" t="str">
        <x:v>AC_BOUES_TMS</x:v>
      </x:c>
      <x:c r="C63" s="13" t="str">
        <x:v>ASSAINISSEMENT_COLLECTIF</x:v>
      </x:c>
      <x:c r="D63" s="13" t="str">
        <x:v>Martinique</x:v>
      </x:c>
      <x:c r="E63" s="13" t="str">
        <x:v>Martinique</x:v>
      </x:c>
      <x:c r="F63" s="13" t="n">
        <x:v>1745.6200000000001</x:v>
      </x:c>
      <x:c r="G63" s="13" t="str">
        <x:v>tMS/an</x:v>
      </x:c>
      <x:c r="H63" s="13" t="str">
        <x:v>RAD_RPQS</x:v>
      </x:c>
      <x:c r="I63" s="13" t="str">
        <x:v>OK</x:v>
      </x:c>
      <x:c r="J63" s="13" t="str">
        <x:v>PRODUCTION</x:v>
      </x:c>
      <x:c r="K63" s="13" t="str">
        <x:v>COMPLETE</x:v>
      </x:c>
      <x:c r="L63" s="13" t="str">
        <x:v>Somme des trois EPCI à partir des RAD/RPQS locaux.</x:v>
      </x:c>
    </x:row>
    <x:row r="64">
      <x:c r="A64" s="13" t="n">
        <x:v>2023</x:v>
      </x:c>
      <x:c r="B64" s="13" t="str">
        <x:v>EP_ABONNES</x:v>
      </x:c>
      <x:c r="C64" s="13" t="str">
        <x:v>EAU_POTABLE</x:v>
      </x:c>
      <x:c r="D64" s="13" t="str">
        <x:v>CAP_NORD_DSP_2020_2024</x:v>
      </x:c>
      <x:c r="E64" s="13" t="str">
        <x:v>CAP_NORD_DSP_2020_2024</x:v>
      </x:c>
      <x:c r="F64" s="13" t="n">
        <x:v>38372</x:v>
      </x:c>
      <x:c r="G64" s="13" t="str">
        <x:v>abonnés</x:v>
      </x:c>
      <x:c r="H64" s="13" t="str">
        <x:v>RAD_RPQS</x:v>
      </x:c>
      <x:c r="I64" s="13" t="str">
        <x:v>OK</x:v>
      </x:c>
      <x:c r="J64" s="13" t="str">
        <x:v>PRODUCTION</x:v>
      </x:c>
      <x:c r="K64" s="13" t="str">
        <x:v>COMPLETE</x:v>
      </x:c>
      <x:c r="L64" s="13" t="str">
        <x:v>Tableau détaillé par commune/secteur.</x:v>
      </x:c>
    </x:row>
    <x:row r="65">
      <x:c r="A65" s="13" t="n">
        <x:v>2023</x:v>
      </x:c>
      <x:c r="B65" s="13" t="str">
        <x:v>EP_ABONNES</x:v>
      </x:c>
      <x:c r="C65" s="13" t="str">
        <x:v>EAU_POTABLE</x:v>
      </x:c>
      <x:c r="D65" s="13" t="str">
        <x:v>ROBERT_TRINITE</x:v>
      </x:c>
      <x:c r="E65" s="13" t="str">
        <x:v>ROBERT_TRINITE_EXSICSM</x:v>
      </x:c>
      <x:c r="F65" s="13" t="n">
        <x:v>14266</x:v>
      </x:c>
      <x:c r="G65" s="13" t="str">
        <x:v>abonnés</x:v>
      </x:c>
      <x:c r="H65" s="13" t="str">
        <x:v>RAD_RPQS</x:v>
      </x:c>
      <x:c r="I65" s="13" t="str">
        <x:v>OK</x:v>
      </x:c>
      <x:c r="J65" s="13" t="str">
        <x:v>PRODUCTION</x:v>
      </x:c>
      <x:c r="K65" s="13" t="str">
        <x:v>COMPLETE</x:v>
      </x:c>
      <x:c r="L65" s="13" t="str"/>
    </x:row>
    <x:row r="66">
      <x:c r="A66" s="13" t="n">
        <x:v>2023</x:v>
      </x:c>
      <x:c r="B66" s="13" t="str">
        <x:v>EP_ABONNES</x:v>
      </x:c>
      <x:c r="C66" s="13" t="str">
        <x:v>EAU_POTABLE</x:v>
      </x:c>
      <x:c r="D66" s="13" t="str">
        <x:v>CAP_NORD</x:v>
      </x:c>
      <x:c r="E66" s="13" t="str">
        <x:v>CAP_NORD_EPCI</x:v>
      </x:c>
      <x:c r="F66" s="13" t="n">
        <x:v>52638</x:v>
      </x:c>
      <x:c r="G66" s="13" t="str">
        <x:v>abonnés</x:v>
      </x:c>
      <x:c r="H66" s="13" t="str">
        <x:v>RAD_RPQS</x:v>
      </x:c>
      <x:c r="I66" s="13" t="str">
        <x:v>OK</x:v>
      </x:c>
      <x:c r="J66" s="13" t="str">
        <x:v>PRODUCTION</x:v>
      </x:c>
      <x:c r="K66" s="13" t="str">
        <x:v>COMPLETE</x:v>
      </x:c>
      <x:c r="L66" s="13" t="str">
        <x:v>38372 + 14266 = 52638.</x:v>
      </x:c>
    </x:row>
    <x:row r="67">
      <x:c r="A67" s="13" t="n">
        <x:v>2023</x:v>
      </x:c>
      <x:c r="B67" s="13" t="str">
        <x:v>EP_VOLUME_FACTURE_CLIENTELE</x:v>
      </x:c>
      <x:c r="C67" s="13" t="str">
        <x:v>EAU_POTABLE</x:v>
      </x:c>
      <x:c r="D67" s="13" t="str">
        <x:v>CAP_NORD_DSP_2020_2024</x:v>
      </x:c>
      <x:c r="E67" s="13" t="str">
        <x:v>CAP_NORD_DSP_2020_2024</x:v>
      </x:c>
      <x:c r="F67" s="13" t="n">
        <x:v>3824192</x:v>
      </x:c>
      <x:c r="G67" s="13" t="str">
        <x:v>m³/an</x:v>
      </x:c>
      <x:c r="H67" s="13" t="str">
        <x:v>RAD_RPQS</x:v>
      </x:c>
      <x:c r="I67" s="13" t="str">
        <x:v>OK</x:v>
      </x:c>
      <x:c r="J67" s="13" t="str">
        <x:v>PRODUCTION</x:v>
      </x:c>
      <x:c r="K67" s="13" t="str">
        <x:v>COMPLETE</x:v>
      </x:c>
      <x:c r="L67" s="13" t="str">
        <x:v>Le RPQS donne 3 824 167 m3, écart de 25 m3.</x:v>
      </x:c>
    </x:row>
    <x:row r="68">
      <x:c r="A68" s="13" t="n">
        <x:v>2023</x:v>
      </x:c>
      <x:c r="B68" s="13" t="str">
        <x:v>EP_VOLUME_FACTURE_HYDRAULIQUE</x:v>
      </x:c>
      <x:c r="C68" s="13" t="str">
        <x:v>EAU_POTABLE</x:v>
      </x:c>
      <x:c r="D68" s="13" t="str">
        <x:v>CAP_NORD_DSP_2020_2024</x:v>
      </x:c>
      <x:c r="E68" s="13" t="str">
        <x:v>CAP_NORD_DSP_2020_2024</x:v>
      </x:c>
      <x:c r="F68" s="13" t="n">
        <x:v>3670323</x:v>
      </x:c>
      <x:c r="G68" s="13" t="str">
        <x:v>m³/an</x:v>
      </x:c>
      <x:c r="H68" s="13" t="str">
        <x:v>RAD_RPQS</x:v>
      </x:c>
      <x:c r="I68" s="13" t="str">
        <x:v>OK</x:v>
      </x:c>
      <x:c r="J68" s="13" t="str">
        <x:v>PRODUCTION</x:v>
      </x:c>
      <x:c r="K68" s="13" t="str">
        <x:v>COMPLETE</x:v>
      </x:c>
      <x:c r="L68" s="13" t="str"/>
    </x:row>
    <x:row r="69">
      <x:c r="A69" s="13" t="n">
        <x:v>2023</x:v>
      </x:c>
      <x:c r="B69" s="13" t="str">
        <x:v>EP_VOLUME_COMPTABILISE</x:v>
      </x:c>
      <x:c r="C69" s="13" t="str">
        <x:v>EAU_POTABLE</x:v>
      </x:c>
      <x:c r="D69" s="13" t="str">
        <x:v>CAP_NORD_DSP_2020_2024</x:v>
      </x:c>
      <x:c r="E69" s="13" t="str">
        <x:v>CAP_NORD_DSP_2020_2024</x:v>
      </x:c>
      <x:c r="F69" s="13" t="n">
        <x:v>3728683</x:v>
      </x:c>
      <x:c r="G69" s="13" t="str">
        <x:v>m³/an</x:v>
      </x:c>
      <x:c r="H69" s="13" t="str">
        <x:v>RAD_RPQS</x:v>
      </x:c>
      <x:c r="I69" s="13" t="str">
        <x:v>OK</x:v>
      </x:c>
      <x:c r="J69" s="13" t="str">
        <x:v>PRODUCTION</x:v>
      </x:c>
      <x:c r="K69" s="13" t="str">
        <x:v>COMPLETE</x:v>
      </x:c>
      <x:c r="L69" s="13" t="str"/>
    </x:row>
    <x:row r="70">
      <x:c r="A70" s="13" t="n">
        <x:v>2023</x:v>
      </x:c>
      <x:c r="B70" s="13" t="str">
        <x:v>P104.3</x:v>
      </x:c>
      <x:c r="C70" s="13" t="str">
        <x:v>EAU_POTABLE</x:v>
      </x:c>
      <x:c r="D70" s="13" t="str">
        <x:v>CAP_NORD_DSP_2020_2024</x:v>
      </x:c>
      <x:c r="E70" s="13" t="str">
        <x:v>CAP_NORD_DSP_2020_2024</x:v>
      </x:c>
      <x:c r="F70" s="13" t="n">
        <x:v>51.53</x:v>
      </x:c>
      <x:c r="G70" s="13" t="str">
        <x:v>%</x:v>
      </x:c>
      <x:c r="H70" s="13" t="str">
        <x:v>RAD_RPQS</x:v>
      </x:c>
      <x:c r="I70" s="13" t="str">
        <x:v>REVISED_LATER</x:v>
      </x:c>
      <x:c r="J70" s="13" t="str">
        <x:v>AUDIT</x:v>
      </x:c>
      <x:c r="K70" s="13" t="str">
        <x:v>COMPLETE</x:v>
      </x:c>
      <x:c r="L70" s="13" t="str">
        <x:v>Le RAD 2024 révise la valeur historique 2023 à 53,17 %.</x:v>
      </x:c>
    </x:row>
    <x:row r="71">
      <x:c r="A71" s="13" t="n">
        <x:v>2023</x:v>
      </x:c>
      <x:c r="B71" s="13" t="str">
        <x:v>P104.3_REVISED</x:v>
      </x:c>
      <x:c r="C71" s="13" t="str">
        <x:v>EAU_POTABLE</x:v>
      </x:c>
      <x:c r="D71" s="13" t="str">
        <x:v>CAP_NORD_DSP_2020_2024</x:v>
      </x:c>
      <x:c r="E71" s="13" t="str">
        <x:v>CAP_NORD_DSP_2020_2024</x:v>
      </x:c>
      <x:c r="F71" s="13" t="n">
        <x:v>53.17</x:v>
      </x:c>
      <x:c r="G71" s="13" t="str">
        <x:v>%</x:v>
      </x:c>
      <x:c r="H71" s="13" t="str">
        <x:v>RAD_RPQS</x:v>
      </x:c>
      <x:c r="I71" s="13" t="str">
        <x:v>REVISED_BY_LATER_SOURCE</x:v>
      </x:c>
      <x:c r="J71" s="13" t="str">
        <x:v>PRODUCTION</x:v>
      </x:c>
      <x:c r="K71" s="13" t="str">
        <x:v>COMPLETE</x:v>
      </x:c>
      <x:c r="L71" s="13" t="str">
        <x:v>Ne pas écraser la publication initiale.</x:v>
      </x:c>
    </x:row>
    <x:row r="72">
      <x:c r="A72" s="13" t="n">
        <x:v>2023</x:v>
      </x:c>
      <x:c r="B72" s="13" t="str">
        <x:v>P106.3</x:v>
      </x:c>
      <x:c r="C72" s="13" t="str">
        <x:v>EAU_POTABLE</x:v>
      </x:c>
      <x:c r="D72" s="13" t="str">
        <x:v>CAP_NORD_DSP_2020_2024</x:v>
      </x:c>
      <x:c r="E72" s="13" t="str">
        <x:v>CAP_NORD_DSP_2020_2024</x:v>
      </x:c>
      <x:c r="F72" s="13" t="n">
        <x:v>10.97</x:v>
      </x:c>
      <x:c r="G72" s="13" t="str">
        <x:v>m³/km/j</x:v>
      </x:c>
      <x:c r="H72" s="13" t="str">
        <x:v>RAD_RPQS</x:v>
      </x:c>
      <x:c r="I72" s="13" t="str">
        <x:v>OK</x:v>
      </x:c>
      <x:c r="J72" s="13" t="str">
        <x:v>PRODUCTION</x:v>
      </x:c>
      <x:c r="K72" s="13" t="str">
        <x:v>COMPLETE</x:v>
      </x:c>
      <x:c r="L72" s="13" t="str"/>
    </x:row>
    <x:row r="73">
      <x:c r="A73" s="13" t="n">
        <x:v>2023</x:v>
      </x:c>
      <x:c r="B73" s="13" t="str">
        <x:v>P104.3_CONTRACT</x:v>
      </x:c>
      <x:c r="C73" s="13" t="str">
        <x:v>EAU_POTABLE</x:v>
      </x:c>
      <x:c r="D73" s="13" t="str">
        <x:v>EX_SICSM</x:v>
      </x:c>
      <x:c r="E73" s="13" t="str">
        <x:v>EX_SICSM_DSP_2015_2027</x:v>
      </x:c>
      <x:c r="F73" s="13" t="n">
        <x:v>80</x:v>
      </x:c>
      <x:c r="G73" s="13" t="str">
        <x:v>%</x:v>
      </x:c>
      <x:c r="H73" s="13" t="str">
        <x:v>RAD_RPQS</x:v>
      </x:c>
      <x:c r="I73" s="13" t="str">
        <x:v>OK</x:v>
      </x:c>
      <x:c r="J73" s="13" t="str">
        <x:v>PRODUCTION</x:v>
      </x:c>
      <x:c r="K73" s="13" t="str">
        <x:v>COMPLETE</x:v>
      </x:c>
      <x:c r="L73" s="13" t="str">
        <x:v>Le RAD indique que rendement/ILP ne sont pas ventilables entre CAESM et Robert-Trinité.</x:v>
      </x:c>
    </x:row>
    <x:row r="74">
      <x:c r="A74" s="13" t="n">
        <x:v>2023</x:v>
      </x:c>
      <x:c r="B74" s="13" t="str">
        <x:v>P106.3_CONTRACT</x:v>
      </x:c>
      <x:c r="C74" s="13" t="str">
        <x:v>EAU_POTABLE</x:v>
      </x:c>
      <x:c r="D74" s="13" t="str">
        <x:v>EX_SICSM</x:v>
      </x:c>
      <x:c r="E74" s="13" t="str">
        <x:v>EX_SICSM_DSP_2015_2027</x:v>
      </x:c>
      <x:c r="F74" s="13" t="n">
        <x:v>6.53</x:v>
      </x:c>
      <x:c r="G74" s="13" t="str">
        <x:v>m³/km/j</x:v>
      </x:c>
      <x:c r="H74" s="13" t="str">
        <x:v>RAD_RPQS</x:v>
      </x:c>
      <x:c r="I74" s="13" t="str">
        <x:v>OK</x:v>
      </x:c>
      <x:c r="J74" s="13" t="str">
        <x:v>PRODUCTION</x:v>
      </x:c>
      <x:c r="K74" s="13" t="str">
        <x:v>COMPLETE</x:v>
      </x:c>
      <x:c r="L74" s="13" t="str"/>
    </x:row>
    <x:row r="75">
      <x:c r="A75" s="13" t="n">
        <x:v>2023</x:v>
      </x:c>
      <x:c r="B75" s="13" t="str">
        <x:v>P104.3_REPORTED_RT</x:v>
      </x:c>
      <x:c r="C75" s="13" t="str">
        <x:v>EAU_POTABLE</x:v>
      </x:c>
      <x:c r="D75" s="13" t="str">
        <x:v>ROBERT_TRINITE</x:v>
      </x:c>
      <x:c r="E75" s="13" t="str">
        <x:v>ROBERT_TRINITE_EXSICSM</x:v>
      </x:c>
      <x:c r="F75" s="13" t="n">
        <x:v>80.63</x:v>
      </x:c>
      <x:c r="G75" s="13" t="str">
        <x:v>%</x:v>
      </x:c>
      <x:c r="H75" s="13" t="str">
        <x:v>RAD_RPQS</x:v>
      </x:c>
      <x:c r="I75" s="13" t="str">
        <x:v>PERIMETER_SCOPE_AMBIGUOUS</x:v>
      </x:c>
      <x:c r="J75" s="13" t="str">
        <x:v>DIAGNOSTIC</x:v>
      </x:c>
      <x:c r="K75" s="13" t="str">
        <x:v>COMPLETE</x:v>
      </x:c>
      <x:c r="L75" s="13" t="str">
        <x:v>Proche du rendement technique de l'ensemble Ex-SICSM, alors que le RAD dit l'indicateur non ventilable.</x:v>
      </x:c>
    </x:row>
    <x:row r="76">
      <x:c r="A76" s="13" t="n">
        <x:v>2023</x:v>
      </x:c>
      <x:c r="B76" s="13" t="str">
        <x:v>EP_VOLUME_VENDU_RPQS</x:v>
      </x:c>
      <x:c r="C76" s="13" t="str">
        <x:v>EAU_POTABLE</x:v>
      </x:c>
      <x:c r="D76" s="13" t="str">
        <x:v>CAP_NORD_DSP_2020_2024</x:v>
      </x:c>
      <x:c r="E76" s="13" t="str">
        <x:v>CAP_NORD_DSP_2020_2024</x:v>
      </x:c>
      <x:c r="F76" s="13" t="n">
        <x:v>3824167</x:v>
      </x:c>
      <x:c r="G76" s="13" t="str">
        <x:v>m³/an</x:v>
      </x:c>
      <x:c r="H76" s="13" t="str">
        <x:v>RAD_RPQS</x:v>
      </x:c>
      <x:c r="I76" s="13" t="str">
        <x:v>OK</x:v>
      </x:c>
      <x:c r="J76" s="13" t="str">
        <x:v>DIAGNOSTIC</x:v>
      </x:c>
      <x:c r="K76" s="13" t="str">
        <x:v>COMPLETE</x:v>
      </x:c>
      <x:c r="L76" s="13" t="str">
        <x:v>Écart de 25 m3 avec le tableau clientèle du RAD.</x:v>
      </x:c>
    </x:row>
    <x:row r="77">
      <x:c r="A77" s="13" t="n">
        <x:v>2023</x:v>
      </x:c>
      <x:c r="B77" s="13" t="str">
        <x:v>EP_VOLUME_VENDU_RPQS</x:v>
      </x:c>
      <x:c r="C77" s="13" t="str">
        <x:v>EAU_POTABLE</x:v>
      </x:c>
      <x:c r="D77" s="13" t="str">
        <x:v>ROBERT_TRINITE</x:v>
      </x:c>
      <x:c r="E77" s="13" t="str">
        <x:v>ROBERT_TRINITE_EXSICSM</x:v>
      </x:c>
      <x:c r="F77" s="13" t="n">
        <x:v>1898167</x:v>
      </x:c>
      <x:c r="G77" s="13" t="str">
        <x:v>m³/an</x:v>
      </x:c>
      <x:c r="H77" s="13" t="str">
        <x:v>RAD_RPQS</x:v>
      </x:c>
      <x:c r="I77" s="13" t="str">
        <x:v>OK</x:v>
      </x:c>
      <x:c r="J77" s="13" t="str">
        <x:v>PRODUCTION</x:v>
      </x:c>
      <x:c r="K77" s="13" t="str">
        <x:v>COMPLETE</x:v>
      </x:c>
      <x:c r="L77" s="13" t="str"/>
    </x:row>
    <x:row r="78">
      <x:c r="A78" s="13" t="n">
        <x:v>2023</x:v>
      </x:c>
      <x:c r="B78" s="13" t="str">
        <x:v>EP_VOLUME_VENDU_RPQS</x:v>
      </x:c>
      <x:c r="C78" s="13" t="str">
        <x:v>EAU_POTABLE</x:v>
      </x:c>
      <x:c r="D78" s="13" t="str">
        <x:v>CAP_NORD</x:v>
      </x:c>
      <x:c r="E78" s="13" t="str">
        <x:v>CAP_NORD_EPCI</x:v>
      </x:c>
      <x:c r="F78" s="13" t="n">
        <x:v>5722534</x:v>
      </x:c>
      <x:c r="G78" s="13" t="str">
        <x:v>m³/an</x:v>
      </x:c>
      <x:c r="H78" s="13" t="str">
        <x:v>RAD_RPQS</x:v>
      </x:c>
      <x:c r="I78" s="13" t="str">
        <x:v>OK</x:v>
      </x:c>
      <x:c r="J78" s="13" t="str">
        <x:v>PRODUCTION</x:v>
      </x:c>
      <x:c r="K78" s="13" t="str">
        <x:v>COMPLETE</x:v>
      </x:c>
      <x:c r="L78" s="13" t="str"/>
    </x:row>
    <x:row r="79">
      <x:c r="A79" s="13" t="n">
        <x:v>2023</x:v>
      </x:c>
      <x:c r="B79" s="13" t="str">
        <x:v>RES_015</x:v>
      </x:c>
      <x:c r="C79" s="13" t="str">
        <x:v>RESSOURCE</x:v>
      </x:c>
      <x:c r="D79" s="13" t="str">
        <x:v>Martinique</x:v>
      </x:c>
      <x:c r="E79" s="13" t="str">
        <x:v>MARTINIQUE</x:v>
      </x:c>
      <x:c r="F79" s="13" t="n">
        <x:v>60781832</x:v>
      </x:c>
      <x:c r="G79" s="13" t="str">
        <x:v>m³/an</x:v>
      </x:c>
      <x:c r="H79" s="13" t="str">
        <x:v>BNPE</x:v>
      </x:c>
      <x:c r="I79" s="13" t="str">
        <x:v>OK</x:v>
      </x:c>
      <x:c r="J79" s="13" t="str">
        <x:v>PRODUCTION</x:v>
      </x:c>
      <x:c r="K79" s="13" t="str">
        <x:v>COMPLETE</x:v>
      </x:c>
      <x:c r="L79" s="13" t="str"/>
    </x:row>
    <x:row r="80">
      <x:c r="A80" s="13" t="n">
        <x:v>2023</x:v>
      </x:c>
      <x:c r="B80" s="13" t="str">
        <x:v>RES_014</x:v>
      </x:c>
      <x:c r="C80" s="13" t="str">
        <x:v>RESSOURCE</x:v>
      </x:c>
      <x:c r="D80" s="13" t="str">
        <x:v>Martinique</x:v>
      </x:c>
      <x:c r="E80" s="13" t="str">
        <x:v>MARTINIQUE</x:v>
      </x:c>
      <x:c r="F80" s="13" t="n">
        <x:v>44946211</x:v>
      </x:c>
      <x:c r="G80" s="13" t="str">
        <x:v>m³/an</x:v>
      </x:c>
      <x:c r="H80" s="13" t="str">
        <x:v>BNPE</x:v>
      </x:c>
      <x:c r="I80" s="13" t="str">
        <x:v>OK</x:v>
      </x:c>
      <x:c r="J80" s="13" t="str">
        <x:v>PRODUCTION</x:v>
      </x:c>
      <x:c r="K80" s="13" t="str">
        <x:v>COMPLETE</x:v>
      </x:c>
      <x:c r="L80" s="13" t="str"/>
    </x:row>
    <x:row r="81">
      <x:c r="A81" s="13" t="n">
        <x:v>2023</x:v>
      </x:c>
      <x:c r="B81" s="13" t="str">
        <x:v>RES_016</x:v>
      </x:c>
      <x:c r="C81" s="13" t="str">
        <x:v>RESSOURCE</x:v>
      </x:c>
      <x:c r="D81" s="13" t="str">
        <x:v>Martinique</x:v>
      </x:c>
      <x:c r="E81" s="13" t="str">
        <x:v>MARTINIQUE</x:v>
      </x:c>
      <x:c r="F81" s="13" t="n">
        <x:v>13947721</x:v>
      </x:c>
      <x:c r="G81" s="13" t="str">
        <x:v>m³/an</x:v>
      </x:c>
      <x:c r="H81" s="13" t="str">
        <x:v>BNPE</x:v>
      </x:c>
      <x:c r="I81" s="13" t="str">
        <x:v>OK</x:v>
      </x:c>
      <x:c r="J81" s="13" t="str">
        <x:v>PRODUCTION</x:v>
      </x:c>
      <x:c r="K81" s="13" t="str">
        <x:v>COMPLETE</x:v>
      </x:c>
      <x:c r="L81" s="13" t="str"/>
    </x:row>
    <x:row r="82">
      <x:c r="A82" s="13" t="n">
        <x:v>2023</x:v>
      </x:c>
      <x:c r="B82" s="13" t="str">
        <x:v>RES_017</x:v>
      </x:c>
      <x:c r="C82" s="13" t="str">
        <x:v>RESSOURCE</x:v>
      </x:c>
      <x:c r="D82" s="13" t="str">
        <x:v>Martinique</x:v>
      </x:c>
      <x:c r="E82" s="13" t="str">
        <x:v>MARTINIQUE</x:v>
      </x:c>
      <x:c r="F82" s="13" t="n">
        <x:v>1887900</x:v>
      </x:c>
      <x:c r="G82" s="13" t="str">
        <x:v>m³/an</x:v>
      </x:c>
      <x:c r="H82" s="13" t="str">
        <x:v>BNPE</x:v>
      </x:c>
      <x:c r="I82" s="13" t="str">
        <x:v>OK</x:v>
      </x:c>
      <x:c r="J82" s="13" t="str">
        <x:v>PRODUCTION</x:v>
      </x:c>
      <x:c r="K82" s="13" t="str">
        <x:v>COMPLETE</x:v>
      </x:c>
      <x:c r="L82" s="13" t="str"/>
    </x:row>
    <x:row r="83">
      <x:c r="A83" s="13" t="n">
        <x:v>2023</x:v>
      </x:c>
      <x:c r="B83" s="13" t="str">
        <x:v>RES_001</x:v>
      </x:c>
      <x:c r="C83" s="13" t="str">
        <x:v>RESSOURCE</x:v>
      </x:c>
      <x:c r="D83" s="13" t="str">
        <x:v>Martinique</x:v>
      </x:c>
      <x:c r="E83" s="13" t="str">
        <x:v>MARTINIQUE</x:v>
      </x:c>
      <x:c r="F83" s="13" t="n">
        <x:v>73.94678561185849</x:v>
      </x:c>
      <x:c r="G83" s="13" t="str">
        <x:v>%</x:v>
      </x:c>
      <x:c r="H83" s="13" t="str">
        <x:v>BNPE</x:v>
      </x:c>
      <x:c r="I83" s="13" t="str">
        <x:v>OK</x:v>
      </x:c>
      <x:c r="J83" s="13" t="str">
        <x:v>PRODUCTION</x:v>
      </x:c>
      <x:c r="K83" s="13" t="str">
        <x:v>COMPLETE</x:v>
      </x:c>
      <x:c r="L83" s="13" t="str"/>
    </x:row>
    <x:row r="84">
      <x:c r="A84" s="13" t="n">
        <x:v>2023</x:v>
      </x:c>
      <x:c r="B84" s="13" t="str">
        <x:v>RES_002</x:v>
      </x:c>
      <x:c r="C84" s="13" t="str">
        <x:v>RESSOURCE</x:v>
      </x:c>
      <x:c r="D84" s="13" t="str">
        <x:v>Martinique</x:v>
      </x:c>
      <x:c r="E84" s="13" t="str">
        <x:v>MARTINIQUE</x:v>
      </x:c>
      <x:c r="F84" s="13" t="n">
        <x:v>22.94718757407641</x:v>
      </x:c>
      <x:c r="G84" s="13" t="str">
        <x:v>%</x:v>
      </x:c>
      <x:c r="H84" s="13" t="str">
        <x:v>BNPE</x:v>
      </x:c>
      <x:c r="I84" s="13" t="str">
        <x:v>OK</x:v>
      </x:c>
      <x:c r="J84" s="13" t="str">
        <x:v>PRODUCTION</x:v>
      </x:c>
      <x:c r="K84" s="13" t="str">
        <x:v>COMPLETE</x:v>
      </x:c>
      <x:c r="L84" s="13" t="str"/>
    </x:row>
    <x:row r="85">
      <x:c r="A85" s="13" t="n">
        <x:v>2023</x:v>
      </x:c>
      <x:c r="B85" s="13" t="str">
        <x:v>RES_003</x:v>
      </x:c>
      <x:c r="C85" s="13" t="str">
        <x:v>RESSOURCE</x:v>
      </x:c>
      <x:c r="D85" s="13" t="str">
        <x:v>Martinique</x:v>
      </x:c>
      <x:c r="E85" s="13" t="str">
        <x:v>MARTINIQUE</x:v>
      </x:c>
      <x:c r="F85" s="13" t="n">
        <x:v>3.1060268140650975</x:v>
      </x:c>
      <x:c r="G85" s="13" t="str">
        <x:v>%</x:v>
      </x:c>
      <x:c r="H85" s="13" t="str">
        <x:v>BNPE</x:v>
      </x:c>
      <x:c r="I85" s="13" t="str">
        <x:v>OK</x:v>
      </x:c>
      <x:c r="J85" s="13" t="str">
        <x:v>PRODUCTION</x:v>
      </x:c>
      <x:c r="K85" s="13" t="str">
        <x:v>COMPLETE</x:v>
      </x:c>
      <x:c r="L85" s="13" t="str"/>
    </x:row>
    <x:row r="86">
      <x:c r="A86" s="13" t="n">
        <x:v>2023</x:v>
      </x:c>
      <x:c r="B86" s="13" t="str">
        <x:v>RES_004</x:v>
      </x:c>
      <x:c r="C86" s="13" t="str">
        <x:v>RESSOURCE</x:v>
      </x:c>
      <x:c r="D86" s="13" t="str">
        <x:v>Martinique</x:v>
      </x:c>
      <x:c r="E86" s="13" t="str">
        <x:v>MARTINIQUE</x:v>
      </x:c>
      <x:c r="F86" s="13" t="n">
        <x:v>94.89692245693413</x:v>
      </x:c>
      <x:c r="G86" s="13" t="str">
        <x:v>%</x:v>
      </x:c>
      <x:c r="H86" s="13" t="str">
        <x:v>BNPE</x:v>
      </x:c>
      <x:c r="I86" s="13" t="str">
        <x:v>OK</x:v>
      </x:c>
      <x:c r="J86" s="13" t="str">
        <x:v>PRODUCTION</x:v>
      </x:c>
      <x:c r="K86" s="13" t="str">
        <x:v>COMPLETE</x:v>
      </x:c>
      <x:c r="L86" s="13" t="str"/>
    </x:row>
    <x:row r="87">
      <x:c r="A87" s="13" t="n">
        <x:v>2023</x:v>
      </x:c>
      <x:c r="B87" s="13" t="str">
        <x:v>RES_005</x:v>
      </x:c>
      <x:c r="C87" s="13" t="str">
        <x:v>RESSOURCE</x:v>
      </x:c>
      <x:c r="D87" s="13" t="str">
        <x:v>Martinique</x:v>
      </x:c>
      <x:c r="E87" s="13" t="str">
        <x:v>MARTINIQUE</x:v>
      </x:c>
      <x:c r="F87" s="13" t="n">
        <x:v>5.103077543065866</x:v>
      </x:c>
      <x:c r="G87" s="13" t="str">
        <x:v>%</x:v>
      </x:c>
      <x:c r="H87" s="13" t="str">
        <x:v>BNPE</x:v>
      </x:c>
      <x:c r="I87" s="13" t="str">
        <x:v>OK</x:v>
      </x:c>
      <x:c r="J87" s="13" t="str">
        <x:v>PRODUCTION</x:v>
      </x:c>
      <x:c r="K87" s="13" t="str">
        <x:v>COMPLETE</x:v>
      </x:c>
      <x:c r="L87" s="13" t="str"/>
    </x:row>
    <x:row r="88">
      <x:c r="A88" s="13" t="n">
        <x:v>2023</x:v>
      </x:c>
      <x:c r="B88" s="13" t="str">
        <x:v>RES_006</x:v>
      </x:c>
      <x:c r="C88" s="13" t="str">
        <x:v>RESSOURCE</x:v>
      </x:c>
      <x:c r="D88" s="13" t="str">
        <x:v>Martinique</x:v>
      </x:c>
      <x:c r="E88" s="13" t="str">
        <x:v>MARTINIQUE</x:v>
      </x:c>
      <x:c r="F88" s="13" t="n">
        <x:v>57.88136846507484</x:v>
      </x:c>
      <x:c r="G88" s="13" t="str">
        <x:v>%</x:v>
      </x:c>
      <x:c r="H88" s="13" t="str">
        <x:v>BNPE</x:v>
      </x:c>
      <x:c r="I88" s="13" t="str">
        <x:v>OK</x:v>
      </x:c>
      <x:c r="J88" s="13" t="str">
        <x:v>PRODUCTION</x:v>
      </x:c>
      <x:c r="K88" s="13" t="str">
        <x:v>COMPLETE</x:v>
      </x:c>
      <x:c r="L88" s="13" t="str"/>
    </x:row>
    <x:row r="89">
      <x:c r="A89" s="13" t="n">
        <x:v>2023</x:v>
      </x:c>
      <x:c r="B89" s="13" t="str">
        <x:v>RES_007</x:v>
      </x:c>
      <x:c r="C89" s="13" t="str">
        <x:v>RESSOURCE</x:v>
      </x:c>
      <x:c r="D89" s="13" t="str">
        <x:v>Martinique</x:v>
      </x:c>
      <x:c r="E89" s="13" t="str">
        <x:v>MARTINIQUE</x:v>
      </x:c>
      <x:c r="F89" s="13" t="n">
        <x:v>29</x:v>
      </x:c>
      <x:c r="G89" s="13" t="str">
        <x:v>nb</x:v>
      </x:c>
      <x:c r="H89" s="13" t="str">
        <x:v>BNPE</x:v>
      </x:c>
      <x:c r="I89" s="13" t="str">
        <x:v>INCOMPLETE_INVENTORY</x:v>
      </x:c>
      <x:c r="J89" s="13" t="str">
        <x:v>DIAGNOSTIC</x:v>
      </x:c>
      <x:c r="K89" s="13" t="str">
        <x:v>COMPLETE</x:v>
      </x:c>
      <x:c r="L89" s="13" t="str">
        <x:v>BNPE non exhaustive pour le comptage des captages.</x:v>
      </x:c>
    </x:row>
    <x:row r="90">
      <x:c r="A90" s="13" t="n">
        <x:v>2023</x:v>
      </x:c>
      <x:c r="B90" s="13" t="str">
        <x:v>RES_008</x:v>
      </x:c>
      <x:c r="C90" s="13" t="str">
        <x:v>RESSOURCE</x:v>
      </x:c>
      <x:c r="D90" s="13" t="str">
        <x:v>Martinique</x:v>
      </x:c>
      <x:c r="E90" s="13" t="str">
        <x:v>MARTINIQUE</x:v>
      </x:c>
      <x:c r="F90" s="13" t="n">
        <x:v>13</x:v>
      </x:c>
      <x:c r="G90" s="13" t="str">
        <x:v>nb</x:v>
      </x:c>
      <x:c r="H90" s="13" t="str">
        <x:v>BNPE</x:v>
      </x:c>
      <x:c r="I90" s="13" t="str">
        <x:v>INCOMPLETE_INVENTORY</x:v>
      </x:c>
      <x:c r="J90" s="13" t="str">
        <x:v>DIAGNOSTIC</x:v>
      </x:c>
      <x:c r="K90" s="13" t="str">
        <x:v>COMPLETE</x:v>
      </x:c>
      <x:c r="L90" s="13" t="str">
        <x:v>BNPE non exhaustive pour le comptage des captages.</x:v>
      </x:c>
    </x:row>
    <x:row r="91">
      <x:c r="A91" s="13" t="n">
        <x:v>2023</x:v>
      </x:c>
      <x:c r="B91" s="13" t="str">
        <x:v>RES_009</x:v>
      </x:c>
      <x:c r="C91" s="13" t="str">
        <x:v>RESSOURCE</x:v>
      </x:c>
      <x:c r="D91" s="13" t="str">
        <x:v>Martinique</x:v>
      </x:c>
      <x:c r="E91" s="13" t="str">
        <x:v>MARTINIQUE</x:v>
      </x:c>
      <x:c r="F91" s="13" t="n">
        <x:v>16</x:v>
      </x:c>
      <x:c r="G91" s="13" t="str">
        <x:v>nb</x:v>
      </x:c>
      <x:c r="H91" s="13" t="str">
        <x:v>BNPE</x:v>
      </x:c>
      <x:c r="I91" s="13" t="str">
        <x:v>INCOMPLETE_INVENTORY</x:v>
      </x:c>
      <x:c r="J91" s="13" t="str">
        <x:v>DIAGNOSTIC</x:v>
      </x:c>
      <x:c r="K91" s="13" t="str">
        <x:v>COMPLETE</x:v>
      </x:c>
      <x:c r="L91" s="13" t="str">
        <x:v>BNPE non exhaustive pour le comptage des captages.</x:v>
      </x:c>
    </x:row>
    <x:row r="92">
      <x:c r="A92" s="13" t="n">
        <x:v>2023</x:v>
      </x:c>
      <x:c r="B92" s="13" t="str">
        <x:v>EP_ABONNES</x:v>
      </x:c>
      <x:c r="C92" s="13" t="str">
        <x:v>EAU_POTABLE</x:v>
      </x:c>
      <x:c r="D92" s="13" t="str">
        <x:v>Martinique</x:v>
      </x:c>
      <x:c r="E92" s="13" t="str">
        <x:v>MARTINIQUE</x:v>
      </x:c>
      <x:c r="F92" s="13" t="n">
        <x:v>192495</x:v>
      </x:c>
      <x:c r="G92" s="13" t="str">
        <x:v>abonnés</x:v>
      </x:c>
      <x:c r="H92" s="13" t="str">
        <x:v>CALCUL_LOCAL</x:v>
      </x:c>
      <x:c r="I92" s="13" t="str">
        <x:v>OK</x:v>
      </x:c>
      <x:c r="J92" s="13" t="str">
        <x:v>PRODUCTION</x:v>
      </x:c>
      <x:c r="K92" s="13" t="str">
        <x:v>COMPLETE</x:v>
      </x:c>
      <x:c r="L92" s="13" t="str"/>
    </x:row>
  </x:sheetData>
  <x:conditionalFormatting sqref="J2:J92">
    <x:cfRule type="expression" dxfId="15" priority="1">
      <x:formula>J2="PRODUCTION"</x:formula>
    </x:cfRule>
    <x:cfRule type="expression" dxfId="16" priority="2">
      <x:formula>J2="DIAGNOSTIC"</x:formula>
    </x:cfRule>
    <x:cfRule type="expression" dxfId="17" priority="3">
      <x:formula>J2="AUDIT"</x:formula>
    </x:cfRule>
  </x:conditionalFormatting>
  <x:pageMargins left="0.7" right="0.7" top="0.75" bottom="0.75" header="0.3" footer="0.3"/>
  <x:tableParts count="1">
    <x:tablePart xmlns:r="http://schemas.openxmlformats.org/officeDocument/2006/relationships" r:id="R364c5344ca8c4be6"/>
  </x:tableParts>
</x:worksheet>
</file>

<file path=xl/worksheets/sheet11.xml><?xml version="1.0" encoding="utf-8"?>
<x:worksheet xmlns:x="http://schemas.openxmlformats.org/spreadsheetml/2006/main">
  <x:sheetFormatPr defaultRowHeight="15"/>
  <x:cols>
    <x:col min="1" max="1" width="10" hidden="0" customWidth="1"/>
    <x:col min="2" max="2" width="28" hidden="0" customWidth="1"/>
    <x:col min="3" max="3" width="28" hidden="0" customWidth="1"/>
    <x:col min="4" max="4" width="20" hidden="0" customWidth="1"/>
    <x:col min="5" max="5" width="30" hidden="0" customWidth="1"/>
    <x:col min="6" max="6" width="16" hidden="0" customWidth="1"/>
    <x:col min="7" max="7" width="14" hidden="0" customWidth="1"/>
    <x:col min="8" max="8" width="18" hidden="0" customWidth="1"/>
    <x:col min="9" max="9" width="30" hidden="0" customWidth="1"/>
    <x:col min="10" max="10" width="16" hidden="0" customWidth="1"/>
    <x:col min="11" max="11" width="24" hidden="0" customWidth="1"/>
    <x:col min="12" max="12" width="65" hidden="0" customWidth="1"/>
  </x:cols>
  <x:sheetData>
    <x:row r="1">
      <x:c r="A1" s="34" t="str">
        <x:v>Année</x:v>
      </x:c>
      <x:c r="B1" s="34" t="str">
        <x:v>Indicateur</x:v>
      </x:c>
      <x:c r="C1" s="34" t="str">
        <x:v>Domaine</x:v>
      </x:c>
      <x:c r="D1" s="34" t="str">
        <x:v>Territoire</x:v>
      </x:c>
      <x:c r="E1" s="34" t="str">
        <x:v>Périmètre</x:v>
      </x:c>
      <x:c r="F1" s="34" t="str">
        <x:v>Valeur</x:v>
      </x:c>
      <x:c r="G1" s="34" t="str">
        <x:v>Unité</x:v>
      </x:c>
      <x:c r="H1" s="34" t="str">
        <x:v>Source</x:v>
      </x:c>
      <x:c r="I1" s="34" t="str">
        <x:v>Qualité</x:v>
      </x:c>
      <x:c r="J1" s="34" t="str">
        <x:v>Rôle</x:v>
      </x:c>
      <x:c r="K1" s="34" t="str">
        <x:v>Couverture</x:v>
      </x:c>
      <x:c r="L1" s="34" t="str">
        <x:v>Note</x:v>
      </x:c>
    </x:row>
    <x:row r="2">
      <x:c r="A2" s="13" t="n">
        <x:v>2024</x:v>
      </x:c>
      <x:c r="B2" s="13" t="str">
        <x:v>POP_MUNICIPALE</x:v>
      </x:c>
      <x:c r="C2" s="13" t="str">
        <x:v>DEMOGRAPHIE</x:v>
      </x:c>
      <x:c r="D2" s="13" t="str">
        <x:v>Martinique</x:v>
      </x:c>
      <x:c r="E2" s="13" t="str">
        <x:v>Martinique</x:v>
      </x:c>
      <x:c r="F2" s="13" t="n">
        <x:v>360630</x:v>
      </x:c>
      <x:c r="G2" s="13" t="str">
        <x:v>habitants</x:v>
      </x:c>
      <x:c r="H2" s="13" t="str">
        <x:v>INSEE</x:v>
      </x:c>
      <x:c r="I2" s="13" t="str">
        <x:v>POPULATION_LAG</x:v>
      </x:c>
      <x:c r="J2" s="13" t="str">
        <x:v>DIAGNOSTIC</x:v>
      </x:c>
      <x:c r="K2" s="13" t="str">
        <x:v>COMPLETE</x:v>
      </x:c>
      <x:c r="L2" s="13" t="str"/>
    </x:row>
    <x:row r="3">
      <x:c r="A3" s="13" t="n">
        <x:v>2024</x:v>
      </x:c>
      <x:c r="B3" s="13" t="str">
        <x:v>POP_MUNICIPALE</x:v>
      </x:c>
      <x:c r="C3" s="13" t="str">
        <x:v>DEMOGRAPHIE</x:v>
      </x:c>
      <x:c r="D3" s="13" t="str">
        <x:v>CACEM</x:v>
      </x:c>
      <x:c r="E3" s="13" t="str">
        <x:v>CACEM</x:v>
      </x:c>
      <x:c r="F3" s="13" t="n">
        <x:v>150642</x:v>
      </x:c>
      <x:c r="G3" s="13" t="str">
        <x:v>habitants</x:v>
      </x:c>
      <x:c r="H3" s="13" t="str">
        <x:v>INSEE</x:v>
      </x:c>
      <x:c r="I3" s="13" t="str">
        <x:v>POPULATION_LAG</x:v>
      </x:c>
      <x:c r="J3" s="13" t="str">
        <x:v>DIAGNOSTIC</x:v>
      </x:c>
      <x:c r="K3" s="13" t="str">
        <x:v>COMPLETE</x:v>
      </x:c>
      <x:c r="L3" s="13" t="str"/>
    </x:row>
    <x:row r="4">
      <x:c r="A4" s="13" t="n">
        <x:v>2024</x:v>
      </x:c>
      <x:c r="B4" s="13" t="str">
        <x:v>POP_MUNICIPALE</x:v>
      </x:c>
      <x:c r="C4" s="13" t="str">
        <x:v>DEMOGRAPHIE</x:v>
      </x:c>
      <x:c r="D4" s="13" t="str">
        <x:v>CAESM</x:v>
      </x:c>
      <x:c r="E4" s="13" t="str">
        <x:v>CAESM</x:v>
      </x:c>
      <x:c r="F4" s="13" t="n">
        <x:v>114903</x:v>
      </x:c>
      <x:c r="G4" s="13" t="str">
        <x:v>habitants</x:v>
      </x:c>
      <x:c r="H4" s="13" t="str">
        <x:v>INSEE</x:v>
      </x:c>
      <x:c r="I4" s="13" t="str">
        <x:v>POPULATION_LAG</x:v>
      </x:c>
      <x:c r="J4" s="13" t="str">
        <x:v>DIAGNOSTIC</x:v>
      </x:c>
      <x:c r="K4" s="13" t="str">
        <x:v>COMPLETE</x:v>
      </x:c>
      <x:c r="L4" s="13" t="str"/>
    </x:row>
    <x:row r="5">
      <x:c r="A5" s="13" t="n">
        <x:v>2024</x:v>
      </x:c>
      <x:c r="B5" s="13" t="str">
        <x:v>POP_MUNICIPALE</x:v>
      </x:c>
      <x:c r="C5" s="13" t="str">
        <x:v>DEMOGRAPHIE</x:v>
      </x:c>
      <x:c r="D5" s="13" t="str">
        <x:v>CAP_NORD</x:v>
      </x:c>
      <x:c r="E5" s="13" t="str">
        <x:v>CAP_NORD</x:v>
      </x:c>
      <x:c r="F5" s="13" t="n">
        <x:v>95085</x:v>
      </x:c>
      <x:c r="G5" s="13" t="str">
        <x:v>habitants</x:v>
      </x:c>
      <x:c r="H5" s="13" t="str">
        <x:v>INSEE</x:v>
      </x:c>
      <x:c r="I5" s="13" t="str">
        <x:v>POPULATION_LAG</x:v>
      </x:c>
      <x:c r="J5" s="13" t="str">
        <x:v>DIAGNOSTIC</x:v>
      </x:c>
      <x:c r="K5" s="13" t="str">
        <x:v>COMPLETE</x:v>
      </x:c>
      <x:c r="L5" s="13" t="str"/>
    </x:row>
    <x:row r="6">
      <x:c r="A6" s="13" t="n">
        <x:v>2024</x:v>
      </x:c>
      <x:c r="B6" s="13" t="str">
        <x:v>EP_VOLUME_PRODUIT</x:v>
      </x:c>
      <x:c r="C6" s="13" t="str">
        <x:v>EAU_POTABLE</x:v>
      </x:c>
      <x:c r="D6" s="13" t="str">
        <x:v>EX_SICSM</x:v>
      </x:c>
      <x:c r="E6" s="13" t="str">
        <x:v>EX_SICSM_DSP_2015_2027</x:v>
      </x:c>
      <x:c r="F6" s="13" t="n">
        <x:v>14481766</x:v>
      </x:c>
      <x:c r="G6" s="13" t="str">
        <x:v>m³/an</x:v>
      </x:c>
      <x:c r="H6" s="13" t="str">
        <x:v>RAD_RPQS</x:v>
      </x:c>
      <x:c r="I6" s="13" t="str">
        <x:v>OK</x:v>
      </x:c>
      <x:c r="J6" s="13" t="str">
        <x:v>PRODUCTION</x:v>
      </x:c>
      <x:c r="K6" s="13" t="str">
        <x:v>COMPLETE</x:v>
      </x:c>
      <x:c r="L6" s="13" t="str">
        <x:v>Production commune au périmètre Ex-SICSM, non ventilée entre CAESM et Robert-Trinité.</x:v>
      </x:c>
    </x:row>
    <x:row r="7">
      <x:c r="A7" s="13" t="n">
        <x:v>2024</x:v>
      </x:c>
      <x:c r="B7" s="13" t="str">
        <x:v>EP_VOLUME_MIS_DISTRIBUTION</x:v>
      </x:c>
      <x:c r="C7" s="13" t="str">
        <x:v>EAU_POTABLE</x:v>
      </x:c>
      <x:c r="D7" s="13" t="str">
        <x:v>EX_SICSM</x:v>
      </x:c>
      <x:c r="E7" s="13" t="str">
        <x:v>EX_SICSM_DSP_2015_2027</x:v>
      </x:c>
      <x:c r="F7" s="13" t="n">
        <x:v>13857686</x:v>
      </x:c>
      <x:c r="G7" s="13" t="str">
        <x:v>m³/an</x:v>
      </x:c>
      <x:c r="H7" s="13" t="str">
        <x:v>RAD_RPQS</x:v>
      </x:c>
      <x:c r="I7" s="13" t="str">
        <x:v>OK</x:v>
      </x:c>
      <x:c r="J7" s="13" t="str">
        <x:v>PRODUCTION</x:v>
      </x:c>
      <x:c r="K7" s="13" t="str">
        <x:v>COMPLETE</x:v>
      </x:c>
      <x:c r="L7" s="13" t="str">
        <x:v>Périmètre Ex-SICSM.</x:v>
      </x:c>
    </x:row>
    <x:row r="8">
      <x:c r="A8" s="13" t="n">
        <x:v>2024</x:v>
      </x:c>
      <x:c r="B8" s="13" t="str">
        <x:v>EP_VOLUME_FACTURE</x:v>
      </x:c>
      <x:c r="C8" s="13" t="str">
        <x:v>EAU_POTABLE</x:v>
      </x:c>
      <x:c r="D8" s="13" t="str">
        <x:v>CAESM</x:v>
      </x:c>
      <x:c r="E8" s="13" t="str">
        <x:v>CAESM_EPCI</x:v>
      </x:c>
      <x:c r="F8" s="13" t="n">
        <x:v>7564328</x:v>
      </x:c>
      <x:c r="G8" s="13" t="str">
        <x:v>m³/an</x:v>
      </x:c>
      <x:c r="H8" s="13" t="str">
        <x:v>RAD_RPQS</x:v>
      </x:c>
      <x:c r="I8" s="13" t="str">
        <x:v>OK</x:v>
      </x:c>
      <x:c r="J8" s="13" t="str">
        <x:v>PRODUCTION</x:v>
      </x:c>
      <x:c r="K8" s="13" t="str">
        <x:v>COMPLETE</x:v>
      </x:c>
      <x:c r="L8" s="13" t="str"/>
    </x:row>
    <x:row r="9">
      <x:c r="A9" s="13" t="n">
        <x:v>2024</x:v>
      </x:c>
      <x:c r="B9" s="13" t="str">
        <x:v>EP_RESEAU_KM</x:v>
      </x:c>
      <x:c r="C9" s="13" t="str">
        <x:v>EAU_POTABLE</x:v>
      </x:c>
      <x:c r="D9" s="13" t="str">
        <x:v>CAESM</x:v>
      </x:c>
      <x:c r="E9" s="13" t="str">
        <x:v>CAESM_EPCI</x:v>
      </x:c>
      <x:c r="F9" s="13" t="n">
        <x:v>1376.72</x:v>
      </x:c>
      <x:c r="G9" s="13" t="str">
        <x:v>km</x:v>
      </x:c>
      <x:c r="H9" s="13" t="str">
        <x:v>RAD_RPQS</x:v>
      </x:c>
      <x:c r="I9" s="13" t="str">
        <x:v>OK</x:v>
      </x:c>
      <x:c r="J9" s="13" t="str">
        <x:v>PRODUCTION</x:v>
      </x:c>
      <x:c r="K9" s="13" t="str">
        <x:v>COMPLETE</x:v>
      </x:c>
      <x:c r="L9" s="13" t="str"/>
    </x:row>
    <x:row r="10">
      <x:c r="A10" s="13" t="n">
        <x:v>2024</x:v>
      </x:c>
      <x:c r="B10" s="13" t="str">
        <x:v>EP_ABONNES</x:v>
      </x:c>
      <x:c r="C10" s="13" t="str">
        <x:v>EAU_POTABLE</x:v>
      </x:c>
      <x:c r="D10" s="13" t="str">
        <x:v>CAESM</x:v>
      </x:c>
      <x:c r="E10" s="13" t="str">
        <x:v>CAESM_EPCI</x:v>
      </x:c>
      <x:c r="F10" s="13" t="n">
        <x:v>63269</x:v>
      </x:c>
      <x:c r="G10" s="13" t="str">
        <x:v>abonnés</x:v>
      </x:c>
      <x:c r="H10" s="13" t="str">
        <x:v>RAD_RPQS</x:v>
      </x:c>
      <x:c r="I10" s="13" t="str">
        <x:v>OK</x:v>
      </x:c>
      <x:c r="J10" s="13" t="str">
        <x:v>PRODUCTION</x:v>
      </x:c>
      <x:c r="K10" s="13" t="str">
        <x:v>COMPLETE</x:v>
      </x:c>
      <x:c r="L10" s="13" t="str"/>
    </x:row>
    <x:row r="11">
      <x:c r="A11" s="13" t="n">
        <x:v>2024</x:v>
      </x:c>
      <x:c r="B11" s="13" t="str">
        <x:v>P101.1_LOCAL</x:v>
      </x:c>
      <x:c r="C11" s="13" t="str">
        <x:v>EAU_POTABLE</x:v>
      </x:c>
      <x:c r="D11" s="13" t="str">
        <x:v>CAESM</x:v>
      </x:c>
      <x:c r="E11" s="13" t="str">
        <x:v>CAESM_EPCI</x:v>
      </x:c>
      <x:c r="F11" s="13" t="n">
        <x:v>100</x:v>
      </x:c>
      <x:c r="G11" s="13" t="str">
        <x:v>%</x:v>
      </x:c>
      <x:c r="H11" s="13" t="str">
        <x:v>RAD_RPQS</x:v>
      </x:c>
      <x:c r="I11" s="13" t="str">
        <x:v>OK</x:v>
      </x:c>
      <x:c r="J11" s="13" t="str">
        <x:v>PRODUCTION</x:v>
      </x:c>
      <x:c r="K11" s="13" t="str">
        <x:v>COMPLETE</x:v>
      </x:c>
      <x:c r="L11" s="13" t="str"/>
    </x:row>
    <x:row r="12">
      <x:c r="A12" s="13" t="n">
        <x:v>2024</x:v>
      </x:c>
      <x:c r="B12" s="13" t="str">
        <x:v>P102.1_LOCAL</x:v>
      </x:c>
      <x:c r="C12" s="13" t="str">
        <x:v>EAU_POTABLE</x:v>
      </x:c>
      <x:c r="D12" s="13" t="str">
        <x:v>CAESM</x:v>
      </x:c>
      <x:c r="E12" s="13" t="str">
        <x:v>CAESM_EPCI</x:v>
      </x:c>
      <x:c r="F12" s="13" t="n">
        <x:v>100</x:v>
      </x:c>
      <x:c r="G12" s="13" t="str">
        <x:v>%</x:v>
      </x:c>
      <x:c r="H12" s="13" t="str">
        <x:v>RAD_RPQS</x:v>
      </x:c>
      <x:c r="I12" s="13" t="str">
        <x:v>OK</x:v>
      </x:c>
      <x:c r="J12" s="13" t="str">
        <x:v>PRODUCTION</x:v>
      </x:c>
      <x:c r="K12" s="13" t="str">
        <x:v>COMPLETE</x:v>
      </x:c>
      <x:c r="L12" s="13" t="str"/>
    </x:row>
    <x:row r="13">
      <x:c r="A13" s="13" t="n">
        <x:v>2024</x:v>
      </x:c>
      <x:c r="B13" s="13" t="str">
        <x:v>EP_VOLUME_FACTURE</x:v>
      </x:c>
      <x:c r="C13" s="13" t="str">
        <x:v>EAU_POTABLE</x:v>
      </x:c>
      <x:c r="D13" s="13" t="str">
        <x:v>ROBERT_TRINITE</x:v>
      </x:c>
      <x:c r="E13" s="13" t="str">
        <x:v>ROBERT_TRINITE_EXSICSM</x:v>
      </x:c>
      <x:c r="F13" s="13" t="n">
        <x:v>1854351</x:v>
      </x:c>
      <x:c r="G13" s="13" t="str">
        <x:v>m³/an</x:v>
      </x:c>
      <x:c r="H13" s="13" t="str">
        <x:v>RAD_RPQS</x:v>
      </x:c>
      <x:c r="I13" s="13" t="str">
        <x:v>OK</x:v>
      </x:c>
      <x:c r="J13" s="13" t="str">
        <x:v>PRODUCTION</x:v>
      </x:c>
      <x:c r="K13" s="13" t="str">
        <x:v>COMPLETE</x:v>
      </x:c>
      <x:c r="L13" s="13" t="str">
        <x:v>Sous-périmètre de CAP Nord.</x:v>
      </x:c>
    </x:row>
    <x:row r="14">
      <x:c r="A14" s="13" t="n">
        <x:v>2024</x:v>
      </x:c>
      <x:c r="B14" s="13" t="str">
        <x:v>EP_RESEAU_KM</x:v>
      </x:c>
      <x:c r="C14" s="13" t="str">
        <x:v>EAU_POTABLE</x:v>
      </x:c>
      <x:c r="D14" s="13" t="str">
        <x:v>ROBERT_TRINITE</x:v>
      </x:c>
      <x:c r="E14" s="13" t="str">
        <x:v>ROBERT_TRINITE_EXSICSM</x:v>
      </x:c>
      <x:c r="F14" s="13" t="n">
        <x:v>277.63</x:v>
      </x:c>
      <x:c r="G14" s="13" t="str">
        <x:v>km</x:v>
      </x:c>
      <x:c r="H14" s="13" t="str">
        <x:v>RAD_RPQS</x:v>
      </x:c>
      <x:c r="I14" s="13" t="str">
        <x:v>OK</x:v>
      </x:c>
      <x:c r="J14" s="13" t="str">
        <x:v>PRODUCTION</x:v>
      </x:c>
      <x:c r="K14" s="13" t="str">
        <x:v>COMPLETE</x:v>
      </x:c>
      <x:c r="L14" s="13" t="str">
        <x:v>Sous-périmètre de CAP Nord.</x:v>
      </x:c>
    </x:row>
    <x:row r="15">
      <x:c r="A15" s="13" t="n">
        <x:v>2024</x:v>
      </x:c>
      <x:c r="B15" s="13" t="str">
        <x:v>AC_STEU_NB</x:v>
      </x:c>
      <x:c r="C15" s="13" t="str">
        <x:v>ASSAINISSEMENT_COLLECTIF</x:v>
      </x:c>
      <x:c r="D15" s="13" t="str">
        <x:v>CAESM</x:v>
      </x:c>
      <x:c r="E15" s="13" t="str">
        <x:v>CAESM_EPCI</x:v>
      </x:c>
      <x:c r="F15" s="13" t="n">
        <x:v>33</x:v>
      </x:c>
      <x:c r="G15" s="13" t="str">
        <x:v>stations</x:v>
      </x:c>
      <x:c r="H15" s="13" t="str">
        <x:v>RAD_RPQS</x:v>
      </x:c>
      <x:c r="I15" s="13" t="str">
        <x:v>OK</x:v>
      </x:c>
      <x:c r="J15" s="13" t="str">
        <x:v>PRODUCTION</x:v>
      </x:c>
      <x:c r="K15" s="13" t="str">
        <x:v>COMPLETE</x:v>
      </x:c>
      <x:c r="L15" s="13" t="str"/>
    </x:row>
    <x:row r="16">
      <x:c r="A16" s="13" t="n">
        <x:v>2024</x:v>
      </x:c>
      <x:c r="B16" s="13" t="str">
        <x:v>AC_POSTES_REFOULEMENT</x:v>
      </x:c>
      <x:c r="C16" s="13" t="str">
        <x:v>ASSAINISSEMENT_COLLECTIF</x:v>
      </x:c>
      <x:c r="D16" s="13" t="str">
        <x:v>CAESM</x:v>
      </x:c>
      <x:c r="E16" s="13" t="str">
        <x:v>CAESM_EPCI</x:v>
      </x:c>
      <x:c r="F16" s="13" t="n">
        <x:v>123</x:v>
      </x:c>
      <x:c r="G16" s="13" t="str">
        <x:v>ouvrages</x:v>
      </x:c>
      <x:c r="H16" s="13" t="str">
        <x:v>RAD_RPQS</x:v>
      </x:c>
      <x:c r="I16" s="13" t="str">
        <x:v>OK</x:v>
      </x:c>
      <x:c r="J16" s="13" t="str">
        <x:v>PRODUCTION</x:v>
      </x:c>
      <x:c r="K16" s="13" t="str">
        <x:v>COMPLETE</x:v>
      </x:c>
      <x:c r="L16" s="13" t="str"/>
    </x:row>
    <x:row r="17">
      <x:c r="A17" s="13" t="n">
        <x:v>2024</x:v>
      </x:c>
      <x:c r="B17" s="13" t="str">
        <x:v>AC_VOLUME_TRAITE</x:v>
      </x:c>
      <x:c r="C17" s="13" t="str">
        <x:v>ASSAINISSEMENT_COLLECTIF</x:v>
      </x:c>
      <x:c r="D17" s="13" t="str">
        <x:v>CAESM</x:v>
      </x:c>
      <x:c r="E17" s="13" t="str">
        <x:v>CAESM_EPCI</x:v>
      </x:c>
      <x:c r="F17" s="13" t="n">
        <x:v>3354252</x:v>
      </x:c>
      <x:c r="G17" s="13" t="str">
        <x:v>m³/an</x:v>
      </x:c>
      <x:c r="H17" s="13" t="str">
        <x:v>RAD_RPQS</x:v>
      </x:c>
      <x:c r="I17" s="13" t="str">
        <x:v>OK</x:v>
      </x:c>
      <x:c r="J17" s="13" t="str">
        <x:v>PRODUCTION</x:v>
      </x:c>
      <x:c r="K17" s="13" t="str">
        <x:v>COMPLETE</x:v>
      </x:c>
      <x:c r="L17" s="13" t="str"/>
    </x:row>
    <x:row r="18">
      <x:c r="A18" s="13" t="n">
        <x:v>2024</x:v>
      </x:c>
      <x:c r="B18" s="13" t="str">
        <x:v>AC_BOUES_TMS</x:v>
      </x:c>
      <x:c r="C18" s="13" t="str">
        <x:v>ASSAINISSEMENT_COLLECTIF</x:v>
      </x:c>
      <x:c r="D18" s="13" t="str">
        <x:v>CAESM</x:v>
      </x:c>
      <x:c r="E18" s="13" t="str">
        <x:v>CAESM_EPCI</x:v>
      </x:c>
      <x:c r="F18" s="13" t="n">
        <x:v>327.53</x:v>
      </x:c>
      <x:c r="G18" s="13" t="str">
        <x:v>tMS/an</x:v>
      </x:c>
      <x:c r="H18" s="13" t="str">
        <x:v>RAD_RPQS</x:v>
      </x:c>
      <x:c r="I18" s="13" t="str">
        <x:v>OK</x:v>
      </x:c>
      <x:c r="J18" s="13" t="str">
        <x:v>PRODUCTION</x:v>
      </x:c>
      <x:c r="K18" s="13" t="str">
        <x:v>COMPLETE</x:v>
      </x:c>
      <x:c r="L18" s="13" t="str"/>
    </x:row>
    <x:row r="19">
      <x:c r="A19" s="13" t="n">
        <x:v>2024</x:v>
      </x:c>
      <x:c r="B19" s="13" t="str">
        <x:v>AC_RESEAU_KM</x:v>
      </x:c>
      <x:c r="C19" s="13" t="str">
        <x:v>ASSAINISSEMENT_COLLECTIF</x:v>
      </x:c>
      <x:c r="D19" s="13" t="str">
        <x:v>CAESM</x:v>
      </x:c>
      <x:c r="E19" s="13" t="str">
        <x:v>CAESM_EPCI</x:v>
      </x:c>
      <x:c r="F19" s="13" t="n">
        <x:v>305.1</x:v>
      </x:c>
      <x:c r="G19" s="13" t="str">
        <x:v>km</x:v>
      </x:c>
      <x:c r="H19" s="13" t="str">
        <x:v>RAD_RPQS</x:v>
      </x:c>
      <x:c r="I19" s="13" t="str">
        <x:v>OK</x:v>
      </x:c>
      <x:c r="J19" s="13" t="str">
        <x:v>PRODUCTION</x:v>
      </x:c>
      <x:c r="K19" s="13" t="str">
        <x:v>COMPLETE</x:v>
      </x:c>
      <x:c r="L19" s="13" t="str"/>
    </x:row>
    <x:row r="20">
      <x:c r="A20" s="13" t="n">
        <x:v>2024</x:v>
      </x:c>
      <x:c r="B20" s="13" t="str">
        <x:v>AC_ABONNES</x:v>
      </x:c>
      <x:c r="C20" s="13" t="str">
        <x:v>ASSAINISSEMENT_COLLECTIF</x:v>
      </x:c>
      <x:c r="D20" s="13" t="str">
        <x:v>CAESM</x:v>
      </x:c>
      <x:c r="E20" s="13" t="str">
        <x:v>CAESM_EPCI</x:v>
      </x:c>
      <x:c r="F20" s="13" t="n">
        <x:v>24342</x:v>
      </x:c>
      <x:c r="G20" s="13" t="str">
        <x:v>abonnés</x:v>
      </x:c>
      <x:c r="H20" s="13" t="str">
        <x:v>RAD_RPQS</x:v>
      </x:c>
      <x:c r="I20" s="13" t="str">
        <x:v>OK</x:v>
      </x:c>
      <x:c r="J20" s="13" t="str">
        <x:v>PRODUCTION</x:v>
      </x:c>
      <x:c r="K20" s="13" t="str">
        <x:v>COMPLETE</x:v>
      </x:c>
      <x:c r="L20" s="13" t="str"/>
    </x:row>
    <x:row r="21">
      <x:c r="A21" s="13" t="n">
        <x:v>2024</x:v>
      </x:c>
      <x:c r="B21" s="13" t="str">
        <x:v>AC_STEU_NB</x:v>
      </x:c>
      <x:c r="C21" s="13" t="str">
        <x:v>ASSAINISSEMENT_COLLECTIF</x:v>
      </x:c>
      <x:c r="D21" s="13" t="str">
        <x:v>ROBERT_TRINITE</x:v>
      </x:c>
      <x:c r="E21" s="13" t="str">
        <x:v>ROBERT_TRINITE_EXSICSM</x:v>
      </x:c>
      <x:c r="F21" s="13" t="n">
        <x:v>8</x:v>
      </x:c>
      <x:c r="G21" s="13" t="str">
        <x:v>stations</x:v>
      </x:c>
      <x:c r="H21" s="13" t="str">
        <x:v>RAD_RPQS</x:v>
      </x:c>
      <x:c r="I21" s="13" t="str">
        <x:v>OK</x:v>
      </x:c>
      <x:c r="J21" s="13" t="str">
        <x:v>PRODUCTION</x:v>
      </x:c>
      <x:c r="K21" s="13" t="str">
        <x:v>COMPLETE</x:v>
      </x:c>
      <x:c r="L21" s="13" t="str">
        <x:v>Sous-périmètre de CAP Nord.</x:v>
      </x:c>
    </x:row>
    <x:row r="22">
      <x:c r="A22" s="13" t="n">
        <x:v>2024</x:v>
      </x:c>
      <x:c r="B22" s="13" t="str">
        <x:v>AC_POSTES_REFOULEMENT</x:v>
      </x:c>
      <x:c r="C22" s="13" t="str">
        <x:v>ASSAINISSEMENT_COLLECTIF</x:v>
      </x:c>
      <x:c r="D22" s="13" t="str">
        <x:v>ROBERT_TRINITE</x:v>
      </x:c>
      <x:c r="E22" s="13" t="str">
        <x:v>ROBERT_TRINITE_EXSICSM</x:v>
      </x:c>
      <x:c r="F22" s="13" t="n">
        <x:v>62</x:v>
      </x:c>
      <x:c r="G22" s="13" t="str">
        <x:v>ouvrages</x:v>
      </x:c>
      <x:c r="H22" s="13" t="str">
        <x:v>RAD_RPQS</x:v>
      </x:c>
      <x:c r="I22" s="13" t="str">
        <x:v>OK</x:v>
      </x:c>
      <x:c r="J22" s="13" t="str">
        <x:v>PRODUCTION</x:v>
      </x:c>
      <x:c r="K22" s="13" t="str">
        <x:v>COMPLETE</x:v>
      </x:c>
      <x:c r="L22" s="13" t="str">
        <x:v>Sous-périmètre de CAP Nord.</x:v>
      </x:c>
    </x:row>
    <x:row r="23">
      <x:c r="A23" s="13" t="n">
        <x:v>2024</x:v>
      </x:c>
      <x:c r="B23" s="13" t="str">
        <x:v>AC_VOLUME_TRAITE</x:v>
      </x:c>
      <x:c r="C23" s="13" t="str">
        <x:v>ASSAINISSEMENT_COLLECTIF</x:v>
      </x:c>
      <x:c r="D23" s="13" t="str">
        <x:v>ROBERT_TRINITE</x:v>
      </x:c>
      <x:c r="E23" s="13" t="str">
        <x:v>ROBERT_TRINITE_EXSICSM</x:v>
      </x:c>
      <x:c r="F23" s="13" t="n">
        <x:v>745823</x:v>
      </x:c>
      <x:c r="G23" s="13" t="str">
        <x:v>m³/an</x:v>
      </x:c>
      <x:c r="H23" s="13" t="str">
        <x:v>RAD_RPQS</x:v>
      </x:c>
      <x:c r="I23" s="13" t="str">
        <x:v>OK</x:v>
      </x:c>
      <x:c r="J23" s="13" t="str">
        <x:v>PRODUCTION</x:v>
      </x:c>
      <x:c r="K23" s="13" t="str">
        <x:v>COMPLETE</x:v>
      </x:c>
      <x:c r="L23" s="13" t="str">
        <x:v>Sous-périmètre de CAP Nord.</x:v>
      </x:c>
    </x:row>
    <x:row r="24">
      <x:c r="A24" s="13" t="n">
        <x:v>2024</x:v>
      </x:c>
      <x:c r="B24" s="13" t="str">
        <x:v>AC_BOUES_TMS</x:v>
      </x:c>
      <x:c r="C24" s="13" t="str">
        <x:v>ASSAINISSEMENT_COLLECTIF</x:v>
      </x:c>
      <x:c r="D24" s="13" t="str">
        <x:v>ROBERT_TRINITE</x:v>
      </x:c>
      <x:c r="E24" s="13" t="str">
        <x:v>ROBERT_TRINITE_EXSICSM</x:v>
      </x:c>
      <x:c r="F24" s="13" t="n">
        <x:v>70</x:v>
      </x:c>
      <x:c r="G24" s="13" t="str">
        <x:v>tMS/an</x:v>
      </x:c>
      <x:c r="H24" s="13" t="str">
        <x:v>RAD_RPQS</x:v>
      </x:c>
      <x:c r="I24" s="13" t="str">
        <x:v>OK</x:v>
      </x:c>
      <x:c r="J24" s="13" t="str">
        <x:v>PRODUCTION</x:v>
      </x:c>
      <x:c r="K24" s="13" t="str">
        <x:v>COMPLETE</x:v>
      </x:c>
      <x:c r="L24" s="13" t="str">
        <x:v>Sous-périmètre de CAP Nord.</x:v>
      </x:c>
    </x:row>
    <x:row r="25">
      <x:c r="A25" s="13" t="n">
        <x:v>2024</x:v>
      </x:c>
      <x:c r="B25" s="13" t="str">
        <x:v>AC_RESEAU_KM</x:v>
      </x:c>
      <x:c r="C25" s="13" t="str">
        <x:v>ASSAINISSEMENT_COLLECTIF</x:v>
      </x:c>
      <x:c r="D25" s="13" t="str">
        <x:v>ROBERT_TRINITE</x:v>
      </x:c>
      <x:c r="E25" s="13" t="str">
        <x:v>ROBERT_TRINITE_EXSICSM</x:v>
      </x:c>
      <x:c r="F25" s="13" t="n">
        <x:v>99.5</x:v>
      </x:c>
      <x:c r="G25" s="13" t="str">
        <x:v>km</x:v>
      </x:c>
      <x:c r="H25" s="13" t="str">
        <x:v>RAD_RPQS</x:v>
      </x:c>
      <x:c r="I25" s="13" t="str">
        <x:v>OK</x:v>
      </x:c>
      <x:c r="J25" s="13" t="str">
        <x:v>PRODUCTION</x:v>
      </x:c>
      <x:c r="K25" s="13" t="str">
        <x:v>COMPLETE</x:v>
      </x:c>
      <x:c r="L25" s="13" t="str">
        <x:v>Sous-périmètre de CAP Nord.</x:v>
      </x:c>
    </x:row>
    <x:row r="26">
      <x:c r="A26" s="13" t="n">
        <x:v>2024</x:v>
      </x:c>
      <x:c r="B26" s="13" t="str">
        <x:v>AC_ABONNES</x:v>
      </x:c>
      <x:c r="C26" s="13" t="str">
        <x:v>ASSAINISSEMENT_COLLECTIF</x:v>
      </x:c>
      <x:c r="D26" s="13" t="str">
        <x:v>ROBERT_TRINITE</x:v>
      </x:c>
      <x:c r="E26" s="13" t="str">
        <x:v>ROBERT_TRINITE_EXSICSM</x:v>
      </x:c>
      <x:c r="F26" s="13" t="n">
        <x:v>6853</x:v>
      </x:c>
      <x:c r="G26" s="13" t="str">
        <x:v>abonnés</x:v>
      </x:c>
      <x:c r="H26" s="13" t="str">
        <x:v>RAD_RPQS</x:v>
      </x:c>
      <x:c r="I26" s="13" t="str">
        <x:v>OK</x:v>
      </x:c>
      <x:c r="J26" s="13" t="str">
        <x:v>PRODUCTION</x:v>
      </x:c>
      <x:c r="K26" s="13" t="str">
        <x:v>COMPLETE</x:v>
      </x:c>
      <x:c r="L26" s="13" t="str">
        <x:v>Sous-périmètre de CAP Nord.</x:v>
      </x:c>
    </x:row>
    <x:row r="27">
      <x:c r="A27" s="13" t="n">
        <x:v>2024</x:v>
      </x:c>
      <x:c r="B27" s="13" t="str">
        <x:v>AC_RESEAU_KM</x:v>
      </x:c>
      <x:c r="C27" s="13" t="str">
        <x:v>ASSAINISSEMENT_COLLECTIF</x:v>
      </x:c>
      <x:c r="D27" s="13" t="str">
        <x:v>CAP_NORD</x:v>
      </x:c>
      <x:c r="E27" s="13" t="str">
        <x:v>CAP_NORD_EPCI</x:v>
      </x:c>
      <x:c r="F27" s="13" t="n">
        <x:v>252.578</x:v>
      </x:c>
      <x:c r="G27" s="13" t="str">
        <x:v>km</x:v>
      </x:c>
      <x:c r="H27" s="13" t="str">
        <x:v>RAD_RPQS</x:v>
      </x:c>
      <x:c r="I27" s="13" t="str">
        <x:v>OK</x:v>
      </x:c>
      <x:c r="J27" s="13" t="str">
        <x:v>PRODUCTION</x:v>
      </x:c>
      <x:c r="K27" s="13" t="str">
        <x:v>COMPLETE</x:v>
      </x:c>
      <x:c r="L27" s="13" t="str"/>
    </x:row>
    <x:row r="28">
      <x:c r="A28" s="13" t="n">
        <x:v>2024</x:v>
      </x:c>
      <x:c r="B28" s="13" t="str">
        <x:v>AC_BOUES_TMS</x:v>
      </x:c>
      <x:c r="C28" s="13" t="str">
        <x:v>ASSAINISSEMENT_COLLECTIF</x:v>
      </x:c>
      <x:c r="D28" s="13" t="str">
        <x:v>CAP_NORD</x:v>
      </x:c>
      <x:c r="E28" s="13" t="str">
        <x:v>CAP_NORD_EPCI</x:v>
      </x:c>
      <x:c r="F28" s="13" t="n">
        <x:v>287.1</x:v>
      </x:c>
      <x:c r="G28" s="13" t="str">
        <x:v>tMS/an</x:v>
      </x:c>
      <x:c r="H28" s="13" t="str">
        <x:v>RAD_RPQS</x:v>
      </x:c>
      <x:c r="I28" s="13" t="str">
        <x:v>OK</x:v>
      </x:c>
      <x:c r="J28" s="13" t="str">
        <x:v>PRODUCTION</x:v>
      </x:c>
      <x:c r="K28" s="13" t="str">
        <x:v>COMPLETE</x:v>
      </x:c>
      <x:c r="L28" s="13" t="str">
        <x:v>Somme Trinité-Robert + autres communes.</x:v>
      </x:c>
    </x:row>
    <x:row r="29">
      <x:c r="A29" s="13" t="n">
        <x:v>2024</x:v>
      </x:c>
      <x:c r="B29" s="13" t="str">
        <x:v>AC_ABONNES</x:v>
      </x:c>
      <x:c r="C29" s="13" t="str">
        <x:v>ASSAINISSEMENT_COLLECTIF</x:v>
      </x:c>
      <x:c r="D29" s="13" t="str">
        <x:v>CAP_NORD</x:v>
      </x:c>
      <x:c r="E29" s="13" t="str">
        <x:v>CAP_NORD_EPCI</x:v>
      </x:c>
      <x:c r="F29" s="13" t="n">
        <x:v>18170</x:v>
      </x:c>
      <x:c r="G29" s="13" t="str">
        <x:v>abonnés</x:v>
      </x:c>
      <x:c r="H29" s="13" t="str">
        <x:v>RAD_RPQS</x:v>
      </x:c>
      <x:c r="I29" s="13" t="str">
        <x:v>OK</x:v>
      </x:c>
      <x:c r="J29" s="13" t="str">
        <x:v>PRODUCTION</x:v>
      </x:c>
      <x:c r="K29" s="13" t="str">
        <x:v>COMPLETE</x:v>
      </x:c>
      <x:c r="L29" s="13" t="str"/>
    </x:row>
    <x:row r="30">
      <x:c r="A30" s="13" t="n">
        <x:v>2024</x:v>
      </x:c>
      <x:c r="B30" s="13" t="str">
        <x:v>AC_POPULATION_DESSERVIE</x:v>
      </x:c>
      <x:c r="C30" s="13" t="str">
        <x:v>ASSAINISSEMENT_COLLECTIF</x:v>
      </x:c>
      <x:c r="D30" s="13" t="str">
        <x:v>CAP_NORD</x:v>
      </x:c>
      <x:c r="E30" s="13" t="str">
        <x:v>CAP_NORD_EPCI</x:v>
      </x:c>
      <x:c r="F30" s="13" t="n">
        <x:v>31068</x:v>
      </x:c>
      <x:c r="G30" s="13" t="str">
        <x:v>habitants</x:v>
      </x:c>
      <x:c r="H30" s="13" t="str">
        <x:v>RAD_RPQS</x:v>
      </x:c>
      <x:c r="I30" s="13" t="str">
        <x:v>METHOD_CHANGE_SUSPECTED</x:v>
      </x:c>
      <x:c r="J30" s="13" t="str">
        <x:v>DIAGNOSTIC</x:v>
      </x:c>
      <x:c r="K30" s="13" t="str">
        <x:v>COMPLETE</x:v>
      </x:c>
      <x:c r="L30" s="13" t="str">
        <x:v>Rupture importante avec 2023 (44 409), vérifier la méthode de calcul.</x:v>
      </x:c>
    </x:row>
    <x:row r="31">
      <x:c r="A31" s="13" t="n">
        <x:v>2024</x:v>
      </x:c>
      <x:c r="B31" s="13" t="str">
        <x:v>AC_VOLUME_ASSUJETTI</x:v>
      </x:c>
      <x:c r="C31" s="13" t="str">
        <x:v>ASSAINISSEMENT_COLLECTIF</x:v>
      </x:c>
      <x:c r="D31" s="13" t="str">
        <x:v>CAP_NORD</x:v>
      </x:c>
      <x:c r="E31" s="13" t="str">
        <x:v>CAP_NORD_EPCI</x:v>
      </x:c>
      <x:c r="F31" s="13" t="n">
        <x:v>1780874</x:v>
      </x:c>
      <x:c r="G31" s="13" t="str">
        <x:v>m³/an</x:v>
      </x:c>
      <x:c r="H31" s="13" t="str">
        <x:v>RAD_RPQS</x:v>
      </x:c>
      <x:c r="I31" s="13" t="str">
        <x:v>OK</x:v>
      </x:c>
      <x:c r="J31" s="13" t="str">
        <x:v>PRODUCTION</x:v>
      </x:c>
      <x:c r="K31" s="13" t="str">
        <x:v>COMPLETE</x:v>
      </x:c>
      <x:c r="L31" s="13" t="str">
        <x:v>Volume assujetti à la redevance ; ne pas confondre avec volume traité.</x:v>
      </x:c>
    </x:row>
    <x:row r="32">
      <x:c r="A32" s="13" t="n">
        <x:v>2024</x:v>
      </x:c>
      <x:c r="B32" s="13" t="str">
        <x:v>D301.0_LOCAL</x:v>
      </x:c>
      <x:c r="C32" s="13" t="str">
        <x:v>ANC</x:v>
      </x:c>
      <x:c r="D32" s="13" t="str">
        <x:v>CAP_NORD</x:v>
      </x:c>
      <x:c r="E32" s="13" t="str">
        <x:v>CAP_NORD_EPCI</x:v>
      </x:c>
      <x:c r="F32" s="13" t="n">
        <x:v>95658</x:v>
      </x:c>
      <x:c r="G32" s="13" t="str">
        <x:v>habitants</x:v>
      </x:c>
      <x:c r="H32" s="13" t="str">
        <x:v>RAD_RPQS</x:v>
      </x:c>
      <x:c r="I32" s="13" t="str">
        <x:v>METHODOLOGY_TO_REVIEW</x:v>
      </x:c>
      <x:c r="J32" s="13" t="str">
        <x:v>DIAGNOSTIC</x:v>
      </x:c>
      <x:c r="K32" s="13" t="str">
        <x:v>COMPLETE</x:v>
      </x:c>
      <x:c r="L32" s="13" t="str">
        <x:v>La valeur correspond à une population INSEE ancienne du territoire et semble surestimer la population réellement en ANC.</x:v>
      </x:c>
    </x:row>
    <x:row r="33">
      <x:c r="A33" s="13" t="n">
        <x:v>2024</x:v>
      </x:c>
      <x:c r="B33" s="13" t="str">
        <x:v>ANC_INSTALLATIONS_ESTIMEES</x:v>
      </x:c>
      <x:c r="C33" s="13" t="str">
        <x:v>ANC</x:v>
      </x:c>
      <x:c r="D33" s="13" t="str">
        <x:v>CAP_NORD</x:v>
      </x:c>
      <x:c r="E33" s="13" t="str">
        <x:v>CAP_NORD_EPCI</x:v>
      </x:c>
      <x:c r="F33" s="13" t="n">
        <x:v>30182</x:v>
      </x:c>
      <x:c r="G33" s="13" t="str">
        <x:v>installations</x:v>
      </x:c>
      <x:c r="H33" s="13" t="str">
        <x:v>RAD_RPQS</x:v>
      </x:c>
      <x:c r="I33" s="13" t="str">
        <x:v>OK</x:v>
      </x:c>
      <x:c r="J33" s="13" t="str">
        <x:v>PRODUCTION</x:v>
      </x:c>
      <x:c r="K33" s="13" t="str">
        <x:v>COMPLETE</x:v>
      </x:c>
      <x:c r="L33" s="13" t="str"/>
    </x:row>
    <x:row r="34">
      <x:c r="A34" s="13" t="n">
        <x:v>2024</x:v>
      </x:c>
      <x:c r="B34" s="13" t="str">
        <x:v>P301.3</x:v>
      </x:c>
      <x:c r="C34" s="13" t="str">
        <x:v>ANC</x:v>
      </x:c>
      <x:c r="D34" s="13" t="str">
        <x:v>CAP_NORD</x:v>
      </x:c>
      <x:c r="E34" s="13" t="str">
        <x:v>CAP_NORD_EPCI</x:v>
      </x:c>
      <x:c r="F34" s="13" t="n">
        <x:v>27.15871491087629</x:v>
      </x:c>
      <x:c r="G34" s="13" t="str">
        <x:v>%</x:v>
      </x:c>
      <x:c r="H34" s="13" t="str">
        <x:v>RAD_RPQS</x:v>
      </x:c>
      <x:c r="I34" s="13" t="str">
        <x:v>OK</x:v>
      </x:c>
      <x:c r="J34" s="13" t="str">
        <x:v>PRODUCTION</x:v>
      </x:c>
      <x:c r="K34" s="13" t="str">
        <x:v>COMPLETE</x:v>
      </x:c>
      <x:c r="L34" s="13" t="str"/>
    </x:row>
    <x:row r="35">
      <x:c r="A35" s="13" t="n">
        <x:v>2024</x:v>
      </x:c>
      <x:c r="B35" s="13" t="str">
        <x:v>EP_ABONNES</x:v>
      </x:c>
      <x:c r="C35" s="13" t="str">
        <x:v>EAU_POTABLE</x:v>
      </x:c>
      <x:c r="D35" s="13" t="str">
        <x:v>CAP_NORD_DSP_2020_2024</x:v>
      </x:c>
      <x:c r="E35" s="13" t="str">
        <x:v>CAP_NORD_DSP_2020_2024</x:v>
      </x:c>
      <x:c r="F35" s="13" t="n">
        <x:v>37332</x:v>
      </x:c>
      <x:c r="G35" s="13" t="str">
        <x:v>abonnés</x:v>
      </x:c>
      <x:c r="H35" s="13" t="str">
        <x:v>RAD_RPQS</x:v>
      </x:c>
      <x:c r="I35" s="13" t="str">
        <x:v>OK</x:v>
      </x:c>
      <x:c r="J35" s="13" t="str">
        <x:v>PRODUCTION</x:v>
      </x:c>
      <x:c r="K35" s="13" t="str">
        <x:v>COMPLETE</x:v>
      </x:c>
      <x:c r="L35" s="13" t="str">
        <x:v>La valeur détaillée contredit le chiffre-clé 38 457 : le détail et le RPQS officiel convergent vers 37 332.</x:v>
      </x:c>
    </x:row>
    <x:row r="36">
      <x:c r="A36" s="13" t="n">
        <x:v>2024</x:v>
      </x:c>
      <x:c r="B36" s="13" t="str">
        <x:v>EP_ABONNES</x:v>
      </x:c>
      <x:c r="C36" s="13" t="str">
        <x:v>EAU_POTABLE</x:v>
      </x:c>
      <x:c r="D36" s="13" t="str">
        <x:v>ROBERT_TRINITE</x:v>
      </x:c>
      <x:c r="E36" s="13" t="str">
        <x:v>ROBERT_TRINITE_EXSICSM</x:v>
      </x:c>
      <x:c r="F36" s="13" t="n">
        <x:v>14414</x:v>
      </x:c>
      <x:c r="G36" s="13" t="str">
        <x:v>abonnés</x:v>
      </x:c>
      <x:c r="H36" s="13" t="str">
        <x:v>RAD_RPQS</x:v>
      </x:c>
      <x:c r="I36" s="13" t="str">
        <x:v>OK</x:v>
      </x:c>
      <x:c r="J36" s="13" t="str">
        <x:v>PRODUCTION</x:v>
      </x:c>
      <x:c r="K36" s="13" t="str">
        <x:v>COMPLETE</x:v>
      </x:c>
      <x:c r="L36" s="13" t="str"/>
    </x:row>
    <x:row r="37">
      <x:c r="A37" s="13" t="n">
        <x:v>2024</x:v>
      </x:c>
      <x:c r="B37" s="13" t="str">
        <x:v>EP_ABONNES</x:v>
      </x:c>
      <x:c r="C37" s="13" t="str">
        <x:v>EAU_POTABLE</x:v>
      </x:c>
      <x:c r="D37" s="13" t="str">
        <x:v>CAP_NORD</x:v>
      </x:c>
      <x:c r="E37" s="13" t="str">
        <x:v>CAP_NORD_EPCI</x:v>
      </x:c>
      <x:c r="F37" s="13" t="n">
        <x:v>51746</x:v>
      </x:c>
      <x:c r="G37" s="13" t="str">
        <x:v>abonnés</x:v>
      </x:c>
      <x:c r="H37" s="13" t="str">
        <x:v>RAD_RPQS</x:v>
      </x:c>
      <x:c r="I37" s="13" t="str">
        <x:v>OK</x:v>
      </x:c>
      <x:c r="J37" s="13" t="str">
        <x:v>PRODUCTION</x:v>
      </x:c>
      <x:c r="K37" s="13" t="str">
        <x:v>COMPLETE</x:v>
      </x:c>
      <x:c r="L37" s="13" t="str">
        <x:v>37332 + 14414 = 51746.</x:v>
      </x:c>
    </x:row>
    <x:row r="38">
      <x:c r="A38" s="13" t="n">
        <x:v>2024</x:v>
      </x:c>
      <x:c r="B38" s="13" t="str">
        <x:v>EP_VOLUME_FACTURE_CLIENTELE</x:v>
      </x:c>
      <x:c r="C38" s="13" t="str">
        <x:v>EAU_POTABLE</x:v>
      </x:c>
      <x:c r="D38" s="13" t="str">
        <x:v>CAP_NORD_DSP_2020_2024</x:v>
      </x:c>
      <x:c r="E38" s="13" t="str">
        <x:v>CAP_NORD_DSP_2020_2024</x:v>
      </x:c>
      <x:c r="F38" s="13" t="n">
        <x:v>3641736</x:v>
      </x:c>
      <x:c r="G38" s="13" t="str">
        <x:v>m³/an</x:v>
      </x:c>
      <x:c r="H38" s="13" t="str">
        <x:v>RAD_RPQS</x:v>
      </x:c>
      <x:c r="I38" s="13" t="str">
        <x:v>OK</x:v>
      </x:c>
      <x:c r="J38" s="13" t="str">
        <x:v>PRODUCTION</x:v>
      </x:c>
      <x:c r="K38" s="13" t="str">
        <x:v>COMPLETE</x:v>
      </x:c>
      <x:c r="L38" s="13" t="str">
        <x:v>À distinguer du volume comptabilisé hydraulique 4 008 632 m3.</x:v>
      </x:c>
    </x:row>
    <x:row r="39">
      <x:c r="A39" s="13" t="n">
        <x:v>2024</x:v>
      </x:c>
      <x:c r="B39" s="13" t="str">
        <x:v>EP_VOLUME_FACTURE_HYDRAULIQUE</x:v>
      </x:c>
      <x:c r="C39" s="13" t="str">
        <x:v>EAU_POTABLE</x:v>
      </x:c>
      <x:c r="D39" s="13" t="str">
        <x:v>CAP_NORD_DSP_2020_2024</x:v>
      </x:c>
      <x:c r="E39" s="13" t="str">
        <x:v>CAP_NORD_DSP_2020_2024</x:v>
      </x:c>
      <x:c r="F39" s="13" t="n">
        <x:v>3641739</x:v>
      </x:c>
      <x:c r="G39" s="13" t="str">
        <x:v>m³/an</x:v>
      </x:c>
      <x:c r="H39" s="13" t="str">
        <x:v>RAD_RPQS</x:v>
      </x:c>
      <x:c r="I39" s="13" t="str">
        <x:v>OK</x:v>
      </x:c>
      <x:c r="J39" s="13" t="str">
        <x:v>PRODUCTION</x:v>
      </x:c>
      <x:c r="K39" s="13" t="str">
        <x:v>COMPLETE</x:v>
      </x:c>
      <x:c r="L39" s="13" t="str"/>
    </x:row>
    <x:row r="40">
      <x:c r="A40" s="13" t="n">
        <x:v>2024</x:v>
      </x:c>
      <x:c r="B40" s="13" t="str">
        <x:v>EP_VOLUME_COMPTABILISE</x:v>
      </x:c>
      <x:c r="C40" s="13" t="str">
        <x:v>EAU_POTABLE</x:v>
      </x:c>
      <x:c r="D40" s="13" t="str">
        <x:v>CAP_NORD_DSP_2020_2024</x:v>
      </x:c>
      <x:c r="E40" s="13" t="str">
        <x:v>CAP_NORD_DSP_2020_2024</x:v>
      </x:c>
      <x:c r="F40" s="13" t="n">
        <x:v>4008632</x:v>
      </x:c>
      <x:c r="G40" s="13" t="str">
        <x:v>m³/an</x:v>
      </x:c>
      <x:c r="H40" s="13" t="str">
        <x:v>RAD_RPQS</x:v>
      </x:c>
      <x:c r="I40" s="13" t="str">
        <x:v>OK</x:v>
      </x:c>
      <x:c r="J40" s="13" t="str">
        <x:v>PRODUCTION</x:v>
      </x:c>
      <x:c r="K40" s="13" t="str">
        <x:v>COMPLETE</x:v>
      </x:c>
      <x:c r="L40" s="13" t="str"/>
    </x:row>
    <x:row r="41">
      <x:c r="A41" s="13" t="n">
        <x:v>2024</x:v>
      </x:c>
      <x:c r="B41" s="13" t="str">
        <x:v>P104.3</x:v>
      </x:c>
      <x:c r="C41" s="13" t="str">
        <x:v>EAU_POTABLE</x:v>
      </x:c>
      <x:c r="D41" s="13" t="str">
        <x:v>CAP_NORD_DSP_2020_2024</x:v>
      </x:c>
      <x:c r="E41" s="13" t="str">
        <x:v>CAP_NORD_DSP_2020_2024</x:v>
      </x:c>
      <x:c r="F41" s="13" t="n">
        <x:v>54.95</x:v>
      </x:c>
      <x:c r="G41" s="13" t="str">
        <x:v>%</x:v>
      </x:c>
      <x:c r="H41" s="13" t="str">
        <x:v>RAD_RPQS</x:v>
      </x:c>
      <x:c r="I41" s="13" t="str">
        <x:v>OK</x:v>
      </x:c>
      <x:c r="J41" s="13" t="str">
        <x:v>PRODUCTION</x:v>
      </x:c>
      <x:c r="K41" s="13" t="str">
        <x:v>COMPLETE</x:v>
      </x:c>
      <x:c r="L41" s="13" t="str"/>
    </x:row>
    <x:row r="42">
      <x:c r="A42" s="13" t="n">
        <x:v>2024</x:v>
      </x:c>
      <x:c r="B42" s="13" t="str">
        <x:v>P106.3</x:v>
      </x:c>
      <x:c r="C42" s="13" t="str">
        <x:v>EAU_POTABLE</x:v>
      </x:c>
      <x:c r="D42" s="13" t="str">
        <x:v>CAP_NORD_DSP_2020_2024</x:v>
      </x:c>
      <x:c r="E42" s="13" t="str">
        <x:v>CAP_NORD_DSP_2020_2024</x:v>
      </x:c>
      <x:c r="F42" s="13" t="n">
        <x:v>9.87</x:v>
      </x:c>
      <x:c r="G42" s="13" t="str">
        <x:v>m³/km/j</x:v>
      </x:c>
      <x:c r="H42" s="13" t="str">
        <x:v>RAD_RPQS</x:v>
      </x:c>
      <x:c r="I42" s="13" t="str">
        <x:v>OK</x:v>
      </x:c>
      <x:c r="J42" s="13" t="str">
        <x:v>PRODUCTION</x:v>
      </x:c>
      <x:c r="K42" s="13" t="str">
        <x:v>COMPLETE</x:v>
      </x:c>
      <x:c r="L42" s="13" t="str"/>
    </x:row>
    <x:row r="43">
      <x:c r="A43" s="13" t="n">
        <x:v>2024</x:v>
      </x:c>
      <x:c r="B43" s="13" t="str">
        <x:v>P104.3_CONTRACT</x:v>
      </x:c>
      <x:c r="C43" s="13" t="str">
        <x:v>EAU_POTABLE</x:v>
      </x:c>
      <x:c r="D43" s="13" t="str">
        <x:v>EX_SICSM</x:v>
      </x:c>
      <x:c r="E43" s="13" t="str">
        <x:v>EX_SICSM_DSP_2015_2027</x:v>
      </x:c>
      <x:c r="F43" s="13" t="n">
        <x:v>80.4</x:v>
      </x:c>
      <x:c r="G43" s="13" t="str">
        <x:v>%</x:v>
      </x:c>
      <x:c r="H43" s="13" t="str">
        <x:v>RAD_RPQS</x:v>
      </x:c>
      <x:c r="I43" s="13" t="str">
        <x:v>OK</x:v>
      </x:c>
      <x:c r="J43" s="13" t="str">
        <x:v>PRODUCTION</x:v>
      </x:c>
      <x:c r="K43" s="13" t="str">
        <x:v>COMPLETE</x:v>
      </x:c>
      <x:c r="L43" s="13" t="str"/>
    </x:row>
    <x:row r="44">
      <x:c r="A44" s="13" t="n">
        <x:v>2024</x:v>
      </x:c>
      <x:c r="B44" s="13" t="str">
        <x:v>P106.3_CONTRACT</x:v>
      </x:c>
      <x:c r="C44" s="13" t="str">
        <x:v>EAU_POTABLE</x:v>
      </x:c>
      <x:c r="D44" s="13" t="str">
        <x:v>EX_SICSM</x:v>
      </x:c>
      <x:c r="E44" s="13" t="str">
        <x:v>EX_SICSM_DSP_2015_2027</x:v>
      </x:c>
      <x:c r="F44" s="13" t="n">
        <x:v>6.28</x:v>
      </x:c>
      <x:c r="G44" s="13" t="str">
        <x:v>m³/km/j</x:v>
      </x:c>
      <x:c r="H44" s="13" t="str">
        <x:v>RAD_RPQS</x:v>
      </x:c>
      <x:c r="I44" s="13" t="str">
        <x:v>OK</x:v>
      </x:c>
      <x:c r="J44" s="13" t="str">
        <x:v>PRODUCTION</x:v>
      </x:c>
      <x:c r="K44" s="13" t="str">
        <x:v>COMPLETE</x:v>
      </x:c>
      <x:c r="L44" s="13" t="str"/>
    </x:row>
    <x:row r="45">
      <x:c r="A45" s="13" t="n">
        <x:v>2024</x:v>
      </x:c>
      <x:c r="B45" s="13" t="str">
        <x:v>P104.3_REPORTED_RT</x:v>
      </x:c>
      <x:c r="C45" s="13" t="str">
        <x:v>EAU_POTABLE</x:v>
      </x:c>
      <x:c r="D45" s="13" t="str">
        <x:v>ROBERT_TRINITE</x:v>
      </x:c>
      <x:c r="E45" s="13" t="str">
        <x:v>ROBERT_TRINITE_EXSICSM</x:v>
      </x:c>
      <x:c r="F45" s="13" t="n">
        <x:v>41.3</x:v>
      </x:c>
      <x:c r="G45" s="13" t="str">
        <x:v>%</x:v>
      </x:c>
      <x:c r="H45" s="13" t="str">
        <x:v>RAD_RPQS</x:v>
      </x:c>
      <x:c r="I45" s="13" t="str">
        <x:v>SOURCE_ERROR_SUSPECTED</x:v>
      </x:c>
      <x:c r="J45" s="13" t="str">
        <x:v>AUDIT</x:v>
      </x:c>
      <x:c r="K45" s="13" t="str">
        <x:v>COMPLETE</x:v>
      </x:c>
      <x:c r="L45" s="13" t="str">
        <x:v>Incompatible avec le RAD et une correction CAP Nord ultérieure à 81 %.</x:v>
      </x:c>
    </x:row>
    <x:row r="46">
      <x:c r="A46" s="13" t="n">
        <x:v>2024</x:v>
      </x:c>
      <x:c r="B46" s="13" t="str">
        <x:v>P104.3_REPORTED_RT_CORRECTED</x:v>
      </x:c>
      <x:c r="C46" s="13" t="str">
        <x:v>EAU_POTABLE</x:v>
      </x:c>
      <x:c r="D46" s="13" t="str">
        <x:v>ROBERT_TRINITE</x:v>
      </x:c>
      <x:c r="E46" s="13" t="str">
        <x:v>ROBERT_TRINITE_EXSICSM</x:v>
      </x:c>
      <x:c r="F46" s="13" t="n">
        <x:v>81</x:v>
      </x:c>
      <x:c r="G46" s="13" t="str">
        <x:v>%</x:v>
      </x:c>
      <x:c r="H46" s="13" t="str">
        <x:v>RAD_RPQS</x:v>
      </x:c>
      <x:c r="I46" s="13" t="str">
        <x:v>REVISED_BY_LATER_SOURCE</x:v>
      </x:c>
      <x:c r="J46" s="13" t="str">
        <x:v>DIAGNOSTIC</x:v>
      </x:c>
      <x:c r="K46" s="13" t="str">
        <x:v>COMPLETE</x:v>
      </x:c>
      <x:c r="L46" s="13" t="str">
        <x:v>Cohérent avec le rendement technique Ex-SICSM 81,0 %, mais le RAD ne permet pas d'établir un P104.3 autonome RT.</x:v>
      </x:c>
    </x:row>
    <x:row r="47">
      <x:c r="A47" s="13" t="n">
        <x:v>2024</x:v>
      </x:c>
      <x:c r="B47" s="13" t="str">
        <x:v>EP_VOLUME_VENDU_RPQS</x:v>
      </x:c>
      <x:c r="C47" s="13" t="str">
        <x:v>EAU_POTABLE</x:v>
      </x:c>
      <x:c r="D47" s="13" t="str">
        <x:v>CAP_NORD_DSP_2020_2024</x:v>
      </x:c>
      <x:c r="E47" s="13" t="str">
        <x:v>CAP_NORD_DSP_2020_2024</x:v>
      </x:c>
      <x:c r="F47" s="13" t="n">
        <x:v>4008632</x:v>
      </x:c>
      <x:c r="G47" s="13" t="str">
        <x:v>m³/an</x:v>
      </x:c>
      <x:c r="H47" s="13" t="str">
        <x:v>RAD_RPQS</x:v>
      </x:c>
      <x:c r="I47" s="13" t="str">
        <x:v>DEFINITION_MISMATCH</x:v>
      </x:c>
      <x:c r="J47" s="13" t="str">
        <x:v>DIAGNOSTIC</x:v>
      </x:c>
      <x:c r="K47" s="13" t="str">
        <x:v>COMPLETE</x:v>
      </x:c>
      <x:c r="L47" s="13" t="str">
        <x:v>Correspond exactement au volume comptabilisé hydraulique, pas au volume facturé clientèle 3 641 736 m3.</x:v>
      </x:c>
    </x:row>
    <x:row r="48">
      <x:c r="A48" s="13" t="n">
        <x:v>2024</x:v>
      </x:c>
      <x:c r="B48" s="13" t="str">
        <x:v>EP_VOLUME_VENDU_RPQS</x:v>
      </x:c>
      <x:c r="C48" s="13" t="str">
        <x:v>EAU_POTABLE</x:v>
      </x:c>
      <x:c r="D48" s="13" t="str">
        <x:v>ROBERT_TRINITE</x:v>
      </x:c>
      <x:c r="E48" s="13" t="str">
        <x:v>ROBERT_TRINITE_EXSICSM</x:v>
      </x:c>
      <x:c r="F48" s="13" t="n">
        <x:v>1854464</x:v>
      </x:c>
      <x:c r="G48" s="13" t="str">
        <x:v>m³/an</x:v>
      </x:c>
      <x:c r="H48" s="13" t="str">
        <x:v>RAD_RPQS</x:v>
      </x:c>
      <x:c r="I48" s="13" t="str">
        <x:v>OK</x:v>
      </x:c>
      <x:c r="J48" s="13" t="str">
        <x:v>PRODUCTION</x:v>
      </x:c>
      <x:c r="K48" s="13" t="str">
        <x:v>COMPLETE</x:v>
      </x:c>
      <x:c r="L48" s="13" t="str">
        <x:v>RAD chiffre-clé : 1 854 351 m3, écart 113 m3.</x:v>
      </x:c>
    </x:row>
    <x:row r="49">
      <x:c r="A49" s="13" t="n">
        <x:v>2024</x:v>
      </x:c>
      <x:c r="B49" s="13" t="str">
        <x:v>EP_VOLUME_VENDU_RPQS</x:v>
      </x:c>
      <x:c r="C49" s="13" t="str">
        <x:v>EAU_POTABLE</x:v>
      </x:c>
      <x:c r="D49" s="13" t="str">
        <x:v>CAP_NORD</x:v>
      </x:c>
      <x:c r="E49" s="13" t="str">
        <x:v>CAP_NORD_EPCI</x:v>
      </x:c>
      <x:c r="F49" s="13" t="n">
        <x:v>5863096</x:v>
      </x:c>
      <x:c r="G49" s="13" t="str">
        <x:v>m³/an</x:v>
      </x:c>
      <x:c r="H49" s="13" t="str">
        <x:v>RAD_RPQS</x:v>
      </x:c>
      <x:c r="I49" s="13" t="str">
        <x:v>DEFINITION_REVIEW_REQUIRED</x:v>
      </x:c>
      <x:c r="J49" s="13" t="str">
        <x:v>DIAGNOSTIC</x:v>
      </x:c>
      <x:c r="K49" s="13" t="str">
        <x:v>COMPLETE</x:v>
      </x:c>
      <x:c r="L49" s="13" t="str">
        <x:v>Le composant 16 communes correspond au volume comptabilisé hydraulique, donc ne pas assimiler à « volume facturé » sans validation.</x:v>
      </x:c>
    </x:row>
    <x:row r="50">
      <x:c r="A50" s="13" t="n">
        <x:v>2024</x:v>
      </x:c>
      <x:c r="B50" s="13" t="str">
        <x:v>SOURCE_COVERAGE</x:v>
      </x:c>
      <x:c r="C50" s="13" t="str">
        <x:v>EAU_POTABLE</x:v>
      </x:c>
      <x:c r="D50" s="13" t="str">
        <x:v>CACEM</x:v>
      </x:c>
      <x:c r="E50" s="13" t="str">
        <x:v>CACEM</x:v>
      </x:c>
      <x:c r="F50" s="13" t="str"/>
      <x:c r="G50" s="13" t="str"/>
      <x:c r="H50" s="13" t="str">
        <x:v>META</x:v>
      </x:c>
      <x:c r="I50" s="13" t="str">
        <x:v>SOURCE_NOT_PRODUCED</x:v>
      </x:c>
      <x:c r="J50" s="13" t="str">
        <x:v>AUDIT</x:v>
      </x:c>
      <x:c r="K50" s="13" t="str">
        <x:v>NON_PRODUIT_DECLARE</x:v>
      </x:c>
      <x:c r="L50" s="13" t="str">
        <x:v>Aucun bilan/RAD 2024 produit selon information ODE fournie le 24/09/2026.</x:v>
      </x:c>
    </x:row>
    <x:row r="51">
      <x:c r="A51" s="13" t="n">
        <x:v>2024</x:v>
      </x:c>
      <x:c r="B51" s="13" t="str">
        <x:v>SOURCE_COVERAGE</x:v>
      </x:c>
      <x:c r="C51" s="13" t="str">
        <x:v>ASSAINISSEMENT_COLLECTIF</x:v>
      </x:c>
      <x:c r="D51" s="13" t="str">
        <x:v>CACEM</x:v>
      </x:c>
      <x:c r="E51" s="13" t="str">
        <x:v>CACEM</x:v>
      </x:c>
      <x:c r="F51" s="13" t="str"/>
      <x:c r="G51" s="13" t="str"/>
      <x:c r="H51" s="13" t="str">
        <x:v>META</x:v>
      </x:c>
      <x:c r="I51" s="13" t="str">
        <x:v>SOURCE_NOT_PRODUCED</x:v>
      </x:c>
      <x:c r="J51" s="13" t="str">
        <x:v>AUDIT</x:v>
      </x:c>
      <x:c r="K51" s="13" t="str">
        <x:v>NON_PRODUIT_DECLARE</x:v>
      </x:c>
      <x:c r="L51" s="13" t="str">
        <x:v>Aucun bilan/RAD 2024 produit selon information ODE fournie le 24/09/2026.</x:v>
      </x:c>
    </x:row>
    <x:row r="52">
      <x:c r="A52" s="13" t="n">
        <x:v>2024</x:v>
      </x:c>
      <x:c r="B52" s="13" t="str">
        <x:v>SOURCE_COVERAGE</x:v>
      </x:c>
      <x:c r="C52" s="13" t="str">
        <x:v>ANC</x:v>
      </x:c>
      <x:c r="D52" s="13" t="str">
        <x:v>CACEM</x:v>
      </x:c>
      <x:c r="E52" s="13" t="str">
        <x:v>CACEM</x:v>
      </x:c>
      <x:c r="F52" s="13" t="str"/>
      <x:c r="G52" s="13" t="str"/>
      <x:c r="H52" s="13" t="str">
        <x:v>META</x:v>
      </x:c>
      <x:c r="I52" s="13" t="str">
        <x:v>SOURCE_NOT_PRODUCED</x:v>
      </x:c>
      <x:c r="J52" s="13" t="str">
        <x:v>AUDIT</x:v>
      </x:c>
      <x:c r="K52" s="13" t="str">
        <x:v>NON_PRODUIT_DECLARE</x:v>
      </x:c>
      <x:c r="L52" s="13" t="str">
        <x:v>Aucun bilan/RAD 2024 produit selon information ODE fournie le 24/09/2026.</x:v>
      </x:c>
    </x:row>
    <x:row r="53">
      <x:c r="A53" s="13" t="n">
        <x:v>2024</x:v>
      </x:c>
      <x:c r="B53" s="13" t="str">
        <x:v>SOURCE_COVERAGE</x:v>
      </x:c>
      <x:c r="C53" s="13" t="str">
        <x:v>ANC</x:v>
      </x:c>
      <x:c r="D53" s="13" t="str">
        <x:v>CAESM</x:v>
      </x:c>
      <x:c r="E53" s="13" t="str">
        <x:v>CAESM</x:v>
      </x:c>
      <x:c r="F53" s="13" t="str"/>
      <x:c r="G53" s="13" t="str"/>
      <x:c r="H53" s="13" t="str">
        <x:v>META</x:v>
      </x:c>
      <x:c r="I53" s="13" t="str">
        <x:v>SOURCE_NOT_PRODUCED</x:v>
      </x:c>
      <x:c r="J53" s="13" t="str">
        <x:v>AUDIT</x:v>
      </x:c>
      <x:c r="K53" s="13" t="str">
        <x:v>NON_PRODUIT_DECLARE</x:v>
      </x:c>
      <x:c r="L53" s="13" t="str">
        <x:v>Aucun RPQS ANC 2024 produit selon information ODE fournie le 24/09/2026.</x:v>
      </x:c>
    </x:row>
  </x:sheetData>
  <x:conditionalFormatting sqref="J2:J53">
    <x:cfRule type="expression" dxfId="18" priority="1">
      <x:formula>J2="PRODUCTION"</x:formula>
    </x:cfRule>
    <x:cfRule type="expression" dxfId="19" priority="2">
      <x:formula>J2="DIAGNOSTIC"</x:formula>
    </x:cfRule>
    <x:cfRule type="expression" dxfId="20" priority="3">
      <x:formula>J2="AUDIT"</x:formula>
    </x:cfRule>
  </x:conditionalFormatting>
  <x:pageMargins left="0.7" right="0.7" top="0.75" bottom="0.75" header="0.3" footer="0.3"/>
  <x:tableParts count="1">
    <x:tablePart xmlns:r="http://schemas.openxmlformats.org/officeDocument/2006/relationships" r:id="Raa2fd6a730e84fd8"/>
  </x:tableParts>
</x:worksheet>
</file>